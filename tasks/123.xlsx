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ybar Finance " sheetId="1" r:id="rId5"/>
    <sheet state="visible" name="Июнь 2026" sheetId="2" r:id="rId6"/>
    <sheet state="visible" name="Июль2026 " sheetId="3" r:id="rId7"/>
    <sheet state="visible" name="Август2026" sheetId="4" r:id="rId8"/>
  </sheets>
  <definedNames/>
  <calcPr/>
</workbook>
</file>

<file path=xl/sharedStrings.xml><?xml version="1.0" encoding="utf-8"?>
<sst xmlns="http://schemas.openxmlformats.org/spreadsheetml/2006/main" count="315" uniqueCount="149">
  <si>
    <t>План по продажам на Июнь месяц в тенге :</t>
  </si>
  <si>
    <t>Остаток нал Айбар Б</t>
  </si>
  <si>
    <t>Айбар- 20 000 000 тенге</t>
  </si>
  <si>
    <t>Остаток на счетах Айбар Б</t>
  </si>
  <si>
    <t>Каспи</t>
  </si>
  <si>
    <t>Халык</t>
  </si>
  <si>
    <t>Салтанат - 15 000 000 тенге</t>
  </si>
  <si>
    <t>Бекболсын - 20 000 000</t>
  </si>
  <si>
    <t>Фридом</t>
  </si>
  <si>
    <t>Мухаммед - 15 000 000</t>
  </si>
  <si>
    <t>Текущий прогресс плана по продажам в тенге :</t>
  </si>
  <si>
    <t>Фиксированные расходы</t>
  </si>
  <si>
    <t>Приход на карту</t>
  </si>
  <si>
    <t>Приход налчика</t>
  </si>
  <si>
    <t>№</t>
  </si>
  <si>
    <t>расходы по карте</t>
  </si>
  <si>
    <t>расход наличка</t>
  </si>
  <si>
    <t xml:space="preserve">От кого </t>
  </si>
  <si>
    <t>Общая продажа Сумма</t>
  </si>
  <si>
    <t>Кол-во</t>
  </si>
  <si>
    <t>Менеджер</t>
  </si>
  <si>
    <t>Комментарии</t>
  </si>
  <si>
    <t xml:space="preserve">Поступление денег </t>
  </si>
  <si>
    <t>Не хватает для достижения плана продаж на Июнь месяц в тенге:</t>
  </si>
  <si>
    <t>От кого</t>
  </si>
  <si>
    <t>Поступление денег</t>
  </si>
  <si>
    <t>Кайрат</t>
  </si>
  <si>
    <t>Айбар Бренд</t>
  </si>
  <si>
    <t xml:space="preserve">Сакен </t>
  </si>
  <si>
    <t xml:space="preserve">Нурсултан </t>
  </si>
  <si>
    <t xml:space="preserve">Сакен Пахан </t>
  </si>
  <si>
    <t>06.07 Айбар Б</t>
  </si>
  <si>
    <t>20.07 Марал возврат</t>
  </si>
  <si>
    <t>Бахытгуль 25.06</t>
  </si>
  <si>
    <t>Количество продаж за месяц:</t>
  </si>
  <si>
    <t>Айбар С</t>
  </si>
  <si>
    <t xml:space="preserve">остаток Акша </t>
  </si>
  <si>
    <t>Айбар Б каспи</t>
  </si>
  <si>
    <t xml:space="preserve">Қайрат </t>
  </si>
  <si>
    <t>Остаток суммы(перегородка шоурум)</t>
  </si>
  <si>
    <t>07.07 Удаленный счет Paradise Villas</t>
  </si>
  <si>
    <t>Пополнение карты Halyk</t>
  </si>
  <si>
    <t>Жасулан 29.06</t>
  </si>
  <si>
    <t>Средний чек:</t>
  </si>
  <si>
    <t>Сардор Шукуров 19.07</t>
  </si>
  <si>
    <t>Новая продажа</t>
  </si>
  <si>
    <t>Каспий</t>
  </si>
  <si>
    <t>Каспий и Нал</t>
  </si>
  <si>
    <t>Нал</t>
  </si>
  <si>
    <t>07.07 Жібек премия</t>
  </si>
  <si>
    <t>29.07 Пополнение карты Freedom</t>
  </si>
  <si>
    <t>Жасулан 02.07</t>
  </si>
  <si>
    <t>Чистая прибыль:</t>
  </si>
  <si>
    <t>Жаныл 29.07</t>
  </si>
  <si>
    <t>Остаток суммы</t>
  </si>
  <si>
    <t>План на чистую прибыль:</t>
  </si>
  <si>
    <t>07.07 Қайрат премия</t>
  </si>
  <si>
    <t>Еркин 04.07</t>
  </si>
  <si>
    <t>Мажит 30.07</t>
  </si>
  <si>
    <t xml:space="preserve">План на дивиденты: </t>
  </si>
  <si>
    <t>Доп продажа</t>
  </si>
  <si>
    <t>07.07 Герман</t>
  </si>
  <si>
    <t>Арман 05.07</t>
  </si>
  <si>
    <t>Мырзабай Нұрсұлтан 31.07</t>
  </si>
  <si>
    <t>Айбар Общий Продажа За Июнь</t>
  </si>
  <si>
    <t>07.07 Нұрдаулет премия</t>
  </si>
  <si>
    <t>Пернехан 06.07</t>
  </si>
  <si>
    <t>Выручка</t>
  </si>
  <si>
    <t>Арыстанбек 02.08</t>
  </si>
  <si>
    <t>Дата</t>
  </si>
  <si>
    <t>Номер Телефона Клиента и Адрес</t>
  </si>
  <si>
    <t>Адресс</t>
  </si>
  <si>
    <t>ФИО</t>
  </si>
  <si>
    <t>спсобо оплаты</t>
  </si>
  <si>
    <t>Модель дверей</t>
  </si>
  <si>
    <t>Общая сумма Для Бонуса</t>
  </si>
  <si>
    <t>оплачено</t>
  </si>
  <si>
    <t>дата предоплаты</t>
  </si>
  <si>
    <t>Сумма до 70 %</t>
  </si>
  <si>
    <t>сумма предоплаты 70% Должо быть</t>
  </si>
  <si>
    <t>Остатки по заказу</t>
  </si>
  <si>
    <t>07.07 Айбар Б премия</t>
  </si>
  <si>
    <t xml:space="preserve">8 775 441 03 26 </t>
  </si>
  <si>
    <t xml:space="preserve">ЖК 4YOU </t>
  </si>
  <si>
    <t>Талиб 06.07</t>
  </si>
  <si>
    <t>Мерей</t>
  </si>
  <si>
    <t>7-PE.O &amp; 5-AG</t>
  </si>
  <si>
    <t>Остаток Акша</t>
  </si>
  <si>
    <t>07.07 Абиль премия</t>
  </si>
  <si>
    <t>Айбар Общий Продажа За Август</t>
  </si>
  <si>
    <t>Индира С 13.07</t>
  </si>
  <si>
    <t xml:space="preserve">8 778 266 44 68 </t>
  </si>
  <si>
    <t>г. Шымкент, проезд Бектау</t>
  </si>
  <si>
    <t xml:space="preserve">Ерасыл </t>
  </si>
  <si>
    <t>12 Полотен PD и PD.O</t>
  </si>
  <si>
    <t>8 701 786 6626</t>
  </si>
  <si>
    <t>Кунаева 61, Ya fitness</t>
  </si>
  <si>
    <t xml:space="preserve"> Сардор Шукуров</t>
  </si>
  <si>
    <t>07.07 Жібек зп</t>
  </si>
  <si>
    <t>10 скрытых полотен</t>
  </si>
  <si>
    <t>Айдана С 13.07</t>
  </si>
  <si>
    <t xml:space="preserve">Айбар Б Халык </t>
  </si>
  <si>
    <t>8 777 690 72 00</t>
  </si>
  <si>
    <t>Шымкент, ул. Нуршуак д 34</t>
  </si>
  <si>
    <t>Мажит Жулдыз</t>
  </si>
  <si>
    <t>обшивка кухни и завертка</t>
  </si>
  <si>
    <t>07.07 Қайрат зп</t>
  </si>
  <si>
    <t>Қайрат 17.07</t>
  </si>
  <si>
    <t>8 775 140 44 00</t>
  </si>
  <si>
    <t>ЖК Aulet Residence</t>
  </si>
  <si>
    <t>Багила</t>
  </si>
  <si>
    <t>4 - 1AG &amp; 8 - PE.O</t>
  </si>
  <si>
    <t>07.07 Нұрдаулет зп (Каспи Думан)</t>
  </si>
  <si>
    <t>Пополнение карты 21.07</t>
  </si>
  <si>
    <t>8 700 017 11 11</t>
  </si>
  <si>
    <t>ЖК Urban Hills 1 блок 36</t>
  </si>
  <si>
    <t>Нұрсұлтан</t>
  </si>
  <si>
    <t>7 полотен PD</t>
  </si>
  <si>
    <t>8 701 388 6698</t>
  </si>
  <si>
    <t xml:space="preserve">город Шымкент Ташенов көшесі, 77 үй,  31 пәтер </t>
  </si>
  <si>
    <t>Арыстанбек</t>
  </si>
  <si>
    <t>Перегородка Шоурум Каскад</t>
  </si>
  <si>
    <t>Бағила Х 25.07</t>
  </si>
  <si>
    <t>07.07 Бекзат зп</t>
  </si>
  <si>
    <t>Пополнение карты 29.07</t>
  </si>
  <si>
    <t>Айбар Б Фридом</t>
  </si>
  <si>
    <t>07.07 Акжаркын Бугхалтер</t>
  </si>
  <si>
    <t>07.07 Мурат К (Зп Ай</t>
  </si>
  <si>
    <t>07.07 Бекзат (Обнал) (Абиль</t>
  </si>
  <si>
    <t xml:space="preserve">07.07 Елтайтөре </t>
  </si>
  <si>
    <t xml:space="preserve">Итого </t>
  </si>
  <si>
    <t>07.07 Динара М</t>
  </si>
  <si>
    <t>Бекболсын  Общий Продажа За Июнь</t>
  </si>
  <si>
    <t>07.07 Милана Ш</t>
  </si>
  <si>
    <t>07.07 Нұрдаулет (Каспий Думан)</t>
  </si>
  <si>
    <t>07.07 Тимучин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</si>
  <si>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</si>
  <si>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08.07 Мурат К</t>
  </si>
  <si>
    <t>08.07 Удаленный счет Paradise Villas</t>
  </si>
  <si>
    <t>11.07 Заурбек Кранштейн Арман Т</t>
  </si>
  <si>
    <t>14.07 Нұрсұлтан Фридом</t>
  </si>
  <si>
    <t>15.07 Қайрат операционные расходы</t>
  </si>
  <si>
    <t xml:space="preserve">Счет на оплату </t>
  </si>
  <si>
    <t>21.07 Қайрат ОП</t>
  </si>
  <si>
    <t>Салтанат Общий Продажа За Август</t>
  </si>
  <si>
    <t>26.07 Айбар Б</t>
  </si>
  <si>
    <t>29.07 Нұрсұлтан на фридом для таргет</t>
  </si>
  <si>
    <t>Мухаммед Общий Продажа За Август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</si>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</sst>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;(#,##0)"/>
    <numFmt numFmtId="165" formatCode="0.0%"/>
    <numFmt numFmtId="166" formatCode="#,##0.00;(#,##0.00)"/>
    <numFmt numFmtId="167" formatCode="dd.MM.yyyy"/>
    <numFmt numFmtId="168" formatCode="#,##0.0"/>
    <numFmt numFmtId="169" formatCode="d.m.yyyy"/>
    <numFmt numFmtId="170" formatCode="dd.mm.yy"/>
    <numFmt numFmtId="171" formatCode="dd.mm.yyyy"/>
    <numFmt numFmtId="172" formatCode="[$р.-419]#,##0.00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Times New Roman"/>
    </font>
    <font/>
    <font>
      <color theme="1"/>
      <name val="Arial"/>
    </font>
    <font>
      <sz val="11.0"/>
      <color theme="1"/>
      <name val="Calibri"/>
    </font>
    <font>
      <b/>
      <sz val="11.0"/>
      <color rgb="FF000000"/>
      <name val="Times New Roman"/>
    </font>
    <font>
      <b/>
      <sz val="11.0"/>
      <color theme="1"/>
      <name val="Calibri"/>
    </font>
    <font>
      <b/>
      <sz val="11.0"/>
      <color rgb="FFFF0000"/>
      <name val="Times New Roman"/>
    </font>
    <font>
      <color rgb="FFFF0000"/>
      <name val="Arial"/>
    </font>
    <font>
      <sz val="11.0"/>
      <color rgb="FFFF0000"/>
      <name val="Calibri"/>
    </font>
    <font>
      <color theme="1"/>
      <name val="Calibri"/>
    </font>
    <font>
      <b/>
      <sz val="11.0"/>
      <color rgb="FF999999"/>
      <name val="Times New Roman"/>
    </font>
    <font>
      <strike/>
      <color theme="1"/>
      <name val="Calibri"/>
    </font>
    <font>
      <b/>
      <sz val="13.0"/>
      <color theme="1"/>
      <name val="Calibri"/>
    </font>
    <font>
      <b/>
      <color theme="1"/>
      <name val="Arial"/>
    </font>
    <font>
      <color rgb="FFFFFFFF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A62F2F"/>
        <bgColor rgb="FFA62F2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E7C5C5"/>
        <bgColor rgb="FFE7C5C5"/>
      </patternFill>
    </fill>
    <fill>
      <patternFill patternType="solid">
        <fgColor rgb="FFFFD965"/>
        <bgColor rgb="FFFFD965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E69138"/>
        <bgColor rgb="FFE6913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164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0" fontId="1" numFmtId="164" xfId="0" applyFont="1" applyNumberFormat="1"/>
    <xf borderId="1" fillId="3" fontId="2" numFmtId="49" xfId="0" applyAlignment="1" applyBorder="1" applyFill="1" applyFont="1" applyNumberFormat="1">
      <alignment horizontal="right" readingOrder="0"/>
    </xf>
    <xf borderId="0" fillId="0" fontId="1" numFmtId="0" xfId="0" applyAlignment="1" applyFont="1">
      <alignment horizontal="center"/>
    </xf>
    <xf borderId="2" fillId="0" fontId="3" numFmtId="0" xfId="0" applyBorder="1" applyFont="1"/>
    <xf borderId="0" fillId="0" fontId="1" numFmtId="3" xfId="0" applyAlignment="1" applyFont="1" applyNumberFormat="1">
      <alignment horizontal="center"/>
    </xf>
    <xf borderId="3" fillId="0" fontId="3" numFmtId="0" xfId="0" applyBorder="1" applyFont="1"/>
    <xf borderId="4" fillId="4" fontId="1" numFmtId="164" xfId="0" applyBorder="1" applyFill="1" applyFont="1" applyNumberFormat="1"/>
    <xf borderId="4" fillId="3" fontId="4" numFmtId="4" xfId="0" applyBorder="1" applyFont="1" applyNumberFormat="1"/>
    <xf borderId="4" fillId="3" fontId="2" numFmtId="4" xfId="0" applyAlignment="1" applyBorder="1" applyFont="1" applyNumberFormat="1">
      <alignment horizontal="center" readingOrder="0"/>
    </xf>
    <xf borderId="0" fillId="2" fontId="1" numFmtId="164" xfId="0" applyAlignment="1" applyFont="1" applyNumberFormat="1">
      <alignment horizontal="center"/>
    </xf>
    <xf borderId="4" fillId="3" fontId="2" numFmtId="165" xfId="0" applyAlignment="1" applyBorder="1" applyFont="1" applyNumberFormat="1">
      <alignment horizontal="center"/>
    </xf>
    <xf borderId="0" fillId="5" fontId="1" numFmtId="0" xfId="0" applyAlignment="1" applyFill="1" applyFont="1">
      <alignment horizontal="center" readingOrder="0"/>
    </xf>
    <xf borderId="1" fillId="6" fontId="5" numFmtId="49" xfId="0" applyAlignment="1" applyBorder="1" applyFill="1" applyFont="1" applyNumberFormat="1">
      <alignment horizontal="center"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3" xfId="0" applyAlignment="1" applyFill="1" applyFont="1" applyNumberFormat="1">
      <alignment horizontal="center" readingOrder="0"/>
    </xf>
    <xf borderId="1" fillId="10" fontId="5" numFmtId="49" xfId="0" applyAlignment="1" applyBorder="1" applyFill="1" applyFont="1" applyNumberFormat="1">
      <alignment horizontal="center"/>
    </xf>
    <xf borderId="1" fillId="10" fontId="5" numFmtId="49" xfId="0" applyAlignment="1" applyBorder="1" applyFont="1" applyNumberFormat="1">
      <alignment horizontal="center" readingOrder="0"/>
    </xf>
    <xf borderId="1" fillId="11" fontId="5" numFmtId="49" xfId="0" applyAlignment="1" applyBorder="1" applyFill="1" applyFont="1" applyNumberFormat="1">
      <alignment horizontal="center" vertical="bottom"/>
    </xf>
    <xf borderId="0" fillId="5" fontId="1" numFmtId="3" xfId="0" applyAlignment="1" applyFont="1" applyNumberFormat="1">
      <alignment horizontal="center"/>
    </xf>
    <xf borderId="0" fillId="12" fontId="1" numFmtId="0" xfId="0" applyAlignment="1" applyFill="1" applyFont="1">
      <alignment readingOrder="0"/>
    </xf>
    <xf borderId="1" fillId="3" fontId="2" numFmtId="49" xfId="0" applyAlignment="1" applyBorder="1" applyFont="1" applyNumberFormat="1">
      <alignment horizontal="right"/>
    </xf>
    <xf borderId="0" fillId="12" fontId="1" numFmtId="3" xfId="0" applyAlignment="1" applyFont="1" applyNumberFormat="1">
      <alignment horizontal="center" readingOrder="0"/>
    </xf>
    <xf borderId="0" fillId="13" fontId="4" numFmtId="0" xfId="0" applyAlignment="1" applyFill="1" applyFont="1">
      <alignment vertical="bottom"/>
    </xf>
    <xf borderId="0" fillId="13" fontId="4" numFmtId="164" xfId="0" applyAlignment="1" applyFont="1" applyNumberFormat="1">
      <alignment horizontal="center" vertical="bottom"/>
    </xf>
    <xf borderId="0" fillId="13" fontId="4" numFmtId="0" xfId="0" applyAlignment="1" applyFont="1">
      <alignment horizontal="center" readingOrder="0" vertical="bottom"/>
    </xf>
    <xf borderId="0" fillId="14" fontId="4" numFmtId="0" xfId="0" applyAlignment="1" applyFill="1" applyFont="1">
      <alignment horizontal="center" readingOrder="0" vertical="bottom"/>
    </xf>
    <xf borderId="4" fillId="8" fontId="6" numFmtId="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4" fillId="0" fontId="5" numFmtId="0" xfId="0" applyAlignment="1" applyBorder="1" applyFont="1">
      <alignment vertical="bottom"/>
    </xf>
    <xf borderId="1" fillId="3" fontId="7" numFmtId="4" xfId="0" applyAlignment="1" applyBorder="1" applyFont="1" applyNumberFormat="1">
      <alignment horizontal="center"/>
    </xf>
    <xf borderId="1" fillId="13" fontId="5" numFmtId="164" xfId="0" applyAlignment="1" applyBorder="1" applyFont="1" applyNumberFormat="1">
      <alignment horizontal="center" readingOrder="0" shrinkToFit="0" vertical="bottom" wrapText="1"/>
    </xf>
    <xf borderId="1" fillId="10" fontId="5" numFmtId="0" xfId="0" applyAlignment="1" applyBorder="1" applyFont="1">
      <alignment horizontal="center" readingOrder="0" shrinkToFit="0" vertical="bottom" wrapText="1"/>
    </xf>
    <xf borderId="4" fillId="14" fontId="5" numFmtId="0" xfId="0" applyAlignment="1" applyBorder="1" applyFont="1">
      <alignment horizontal="center" shrinkToFit="0" vertical="bottom" wrapText="1"/>
    </xf>
    <xf borderId="4" fillId="14" fontId="4" numFmtId="0" xfId="0" applyAlignment="1" applyBorder="1" applyFont="1">
      <alignment readingOrder="0" vertical="bottom"/>
    </xf>
    <xf borderId="1" fillId="3" fontId="5" numFmtId="4" xfId="0" applyAlignment="1" applyBorder="1" applyFont="1" applyNumberFormat="1">
      <alignment horizontal="center" vertical="bottom"/>
    </xf>
    <xf borderId="1" fillId="14" fontId="5" numFmtId="0" xfId="0" applyAlignment="1" applyBorder="1" applyFont="1">
      <alignment horizontal="center" shrinkToFit="0" vertical="bottom" wrapText="1"/>
    </xf>
    <xf borderId="1" fillId="3" fontId="2" numFmtId="49" xfId="0" applyAlignment="1" applyBorder="1" applyFont="1" applyNumberFormat="1">
      <alignment horizontal="left" readingOrder="0"/>
    </xf>
    <xf borderId="4" fillId="4" fontId="1" numFmtId="0" xfId="0" applyAlignment="1" applyBorder="1" applyFont="1">
      <alignment readingOrder="0"/>
    </xf>
    <xf borderId="4" fillId="3" fontId="8" numFmtId="4" xfId="0" applyAlignment="1" applyBorder="1" applyFont="1" applyNumberFormat="1">
      <alignment horizontal="center"/>
    </xf>
    <xf borderId="4" fillId="4" fontId="1" numFmtId="164" xfId="0" applyAlignment="1" applyBorder="1" applyFont="1" applyNumberFormat="1">
      <alignment readingOrder="0"/>
    </xf>
    <xf borderId="0" fillId="15" fontId="4" numFmtId="0" xfId="0" applyAlignment="1" applyFill="1" applyFont="1">
      <alignment vertical="bottom"/>
    </xf>
    <xf borderId="4" fillId="3" fontId="8" numFmtId="165" xfId="0" applyAlignment="1" applyBorder="1" applyFont="1" applyNumberFormat="1">
      <alignment horizontal="center"/>
    </xf>
    <xf borderId="0" fillId="16" fontId="4" numFmtId="166" xfId="0" applyAlignment="1" applyFill="1" applyFont="1" applyNumberFormat="1">
      <alignment vertical="bottom"/>
    </xf>
    <xf borderId="1" fillId="3" fontId="9" numFmtId="4" xfId="0" applyAlignment="1" applyBorder="1" applyFont="1" applyNumberFormat="1">
      <alignment horizontal="center"/>
    </xf>
    <xf borderId="0" fillId="10" fontId="4" numFmtId="166" xfId="0" applyAlignment="1" applyFont="1" applyNumberFormat="1">
      <alignment vertical="bottom"/>
    </xf>
    <xf borderId="0" fillId="17" fontId="4" numFmtId="166" xfId="0" applyAlignment="1" applyFill="1" applyFont="1" applyNumberFormat="1">
      <alignment vertical="bottom"/>
    </xf>
    <xf borderId="0" fillId="18" fontId="4" numFmtId="0" xfId="0" applyAlignment="1" applyFill="1" applyFont="1">
      <alignment vertical="bottom"/>
    </xf>
    <xf borderId="4" fillId="0" fontId="5" numFmtId="0" xfId="0" applyAlignment="1" applyBorder="1" applyFont="1">
      <alignment horizontal="right" readingOrder="0" vertical="bottom"/>
    </xf>
    <xf borderId="1" fillId="3" fontId="10" numFmtId="4" xfId="0" applyAlignment="1" applyBorder="1" applyFont="1" applyNumberFormat="1">
      <alignment horizontal="center"/>
    </xf>
    <xf borderId="4" fillId="13" fontId="11" numFmtId="164" xfId="0" applyAlignment="1" applyBorder="1" applyFont="1" applyNumberFormat="1">
      <alignment horizontal="center" readingOrder="0" shrinkToFit="0" vertical="bottom" wrapText="1"/>
    </xf>
    <xf borderId="4" fillId="7" fontId="4" numFmtId="3" xfId="0" applyAlignment="1" applyBorder="1" applyFont="1" applyNumberFormat="1">
      <alignment horizontal="center" readingOrder="0" vertical="bottom"/>
    </xf>
    <xf borderId="4" fillId="10" fontId="11" numFmtId="164" xfId="0" applyAlignment="1" applyBorder="1" applyFont="1" applyNumberFormat="1">
      <alignment horizontal="center" readingOrder="0" shrinkToFit="0" vertical="bottom" wrapText="1"/>
    </xf>
    <xf borderId="0" fillId="3" fontId="1" numFmtId="0" xfId="0" applyFont="1"/>
    <xf borderId="4" fillId="10" fontId="11" numFmtId="166" xfId="0" applyAlignment="1" applyBorder="1" applyFont="1" applyNumberFormat="1">
      <alignment horizontal="center" readingOrder="0" shrinkToFit="0" vertical="bottom" wrapText="1"/>
    </xf>
    <xf borderId="4" fillId="16" fontId="4" numFmtId="0" xfId="0" applyAlignment="1" applyBorder="1" applyFont="1">
      <alignment readingOrder="0" vertical="bottom"/>
    </xf>
    <xf borderId="4" fillId="16" fontId="4" numFmtId="167" xfId="0" applyAlignment="1" applyBorder="1" applyFont="1" applyNumberFormat="1">
      <alignment horizontal="right" vertical="bottom"/>
    </xf>
    <xf borderId="4" fillId="16" fontId="4" numFmtId="0" xfId="0" applyAlignment="1" applyBorder="1" applyFont="1">
      <alignment vertical="bottom"/>
    </xf>
    <xf borderId="4" fillId="3" fontId="4" numFmtId="3" xfId="0" applyBorder="1" applyFont="1" applyNumberFormat="1"/>
    <xf borderId="4" fillId="16" fontId="4" numFmtId="0" xfId="0" applyAlignment="1" applyBorder="1" applyFont="1">
      <alignment horizontal="center" readingOrder="0" vertical="bottom"/>
    </xf>
    <xf borderId="4" fillId="7" fontId="11" numFmtId="3" xfId="0" applyAlignment="1" applyBorder="1" applyFont="1" applyNumberFormat="1">
      <alignment horizontal="center" readingOrder="0" vertical="bottom"/>
    </xf>
    <xf borderId="4" fillId="3" fontId="2" numFmtId="3" xfId="0" applyAlignment="1" applyBorder="1" applyFont="1" applyNumberFormat="1">
      <alignment horizontal="center"/>
    </xf>
    <xf borderId="4" fillId="3" fontId="4" numFmtId="165" xfId="0" applyBorder="1" applyFont="1" applyNumberFormat="1"/>
    <xf borderId="4" fillId="4" fontId="1" numFmtId="0" xfId="0" applyBorder="1" applyFont="1"/>
    <xf borderId="1" fillId="3" fontId="5" numFmtId="4" xfId="0" applyAlignment="1" applyBorder="1" applyFont="1" applyNumberFormat="1">
      <alignment horizontal="center"/>
    </xf>
    <xf borderId="0" fillId="16" fontId="4" numFmtId="0" xfId="0" applyAlignment="1" applyFont="1">
      <alignment vertical="bottom"/>
    </xf>
    <xf borderId="0" fillId="18" fontId="4" numFmtId="166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4" numFmtId="166" xfId="0" applyAlignment="1" applyFont="1" applyNumberFormat="1">
      <alignment vertical="bottom"/>
    </xf>
    <xf borderId="1" fillId="3" fontId="4" numFmtId="4" xfId="0" applyBorder="1" applyFont="1" applyNumberFormat="1"/>
    <xf borderId="4" fillId="13" fontId="11" numFmtId="164" xfId="0" applyAlignment="1" applyBorder="1" applyFont="1" applyNumberFormat="1">
      <alignment horizontal="center" readingOrder="0" vertical="bottom"/>
    </xf>
    <xf borderId="1" fillId="3" fontId="4" numFmtId="4" xfId="0" applyAlignment="1" applyBorder="1" applyFont="1" applyNumberFormat="1">
      <alignment vertical="bottom"/>
    </xf>
    <xf borderId="4" fillId="10" fontId="11" numFmtId="164" xfId="0" applyAlignment="1" applyBorder="1" applyFont="1" applyNumberFormat="1">
      <alignment horizontal="center" readingOrder="0" vertical="bottom"/>
    </xf>
    <xf borderId="4" fillId="10" fontId="11" numFmtId="166" xfId="0" applyAlignment="1" applyBorder="1" applyFont="1" applyNumberFormat="1">
      <alignment horizontal="center" readingOrder="0" vertical="bottom"/>
    </xf>
    <xf borderId="4" fillId="16" fontId="4" numFmtId="0" xfId="0" applyAlignment="1" applyBorder="1" applyFont="1">
      <alignment readingOrder="0" shrinkToFit="0" vertical="bottom" wrapText="1"/>
    </xf>
    <xf borderId="4" fillId="16" fontId="4" numFmtId="167" xfId="0" applyAlignment="1" applyBorder="1" applyFont="1" applyNumberFormat="1">
      <alignment horizontal="center" vertical="bottom"/>
    </xf>
    <xf borderId="4" fillId="16" fontId="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15" fontId="4" numFmtId="166" xfId="0" applyAlignment="1" applyFont="1" applyNumberFormat="1">
      <alignment vertical="bottom"/>
    </xf>
    <xf borderId="1" fillId="3" fontId="12" numFmtId="49" xfId="0" applyAlignment="1" applyBorder="1" applyFont="1" applyNumberFormat="1">
      <alignment horizontal="right"/>
    </xf>
    <xf borderId="0" fillId="18" fontId="4" numFmtId="166" xfId="0" applyAlignment="1" applyFont="1" applyNumberFormat="1">
      <alignment horizontal="right" vertical="bottom"/>
    </xf>
    <xf borderId="4" fillId="10" fontId="13" numFmtId="164" xfId="0" applyAlignment="1" applyBorder="1" applyFont="1" applyNumberFormat="1">
      <alignment horizontal="center" readingOrder="0" vertical="bottom"/>
    </xf>
    <xf borderId="4" fillId="10" fontId="13" numFmtId="166" xfId="0" applyAlignment="1" applyBorder="1" applyFont="1" applyNumberFormat="1">
      <alignment horizontal="center" readingOrder="0" vertical="bottom"/>
    </xf>
    <xf borderId="4" fillId="3" fontId="12" numFmtId="165" xfId="0" applyAlignment="1" applyBorder="1" applyFont="1" applyNumberFormat="1">
      <alignment horizontal="center"/>
    </xf>
    <xf borderId="0" fillId="3" fontId="4" numFmtId="49" xfId="0" applyFont="1" applyNumberFormat="1"/>
    <xf borderId="4" fillId="16" fontId="4" numFmtId="168" xfId="0" applyAlignment="1" applyBorder="1" applyFont="1" applyNumberFormat="1">
      <alignment horizontal="center" shrinkToFit="0" vertical="bottom" wrapText="1"/>
    </xf>
    <xf borderId="0" fillId="3" fontId="4" numFmtId="166" xfId="0" applyAlignment="1" applyFont="1" applyNumberFormat="1">
      <alignment horizontal="right" vertical="bottom"/>
    </xf>
    <xf borderId="0" fillId="10" fontId="4" numFmtId="166" xfId="0" applyAlignment="1" applyFont="1" applyNumberFormat="1">
      <alignment horizontal="right" vertical="bottom"/>
    </xf>
    <xf borderId="4" fillId="3" fontId="12" numFmtId="4" xfId="0" applyAlignment="1" applyBorder="1" applyFont="1" applyNumberFormat="1">
      <alignment horizontal="center"/>
    </xf>
    <xf borderId="4" fillId="16" fontId="4" numFmtId="167" xfId="0" applyAlignment="1" applyBorder="1" applyFont="1" applyNumberFormat="1">
      <alignment vertical="bottom"/>
    </xf>
    <xf borderId="4" fillId="16" fontId="4" numFmtId="169" xfId="0" applyAlignment="1" applyBorder="1" applyFont="1" applyNumberFormat="1">
      <alignment vertical="bottom"/>
    </xf>
    <xf borderId="1" fillId="6" fontId="14" numFmtId="49" xfId="0" applyAlignment="1" applyBorder="1" applyFont="1" applyNumberFormat="1">
      <alignment horizontal="center" vertical="bottom"/>
    </xf>
    <xf borderId="0" fillId="6" fontId="4" numFmtId="166" xfId="0" applyAlignment="1" applyFont="1" applyNumberFormat="1">
      <alignment vertical="bottom"/>
    </xf>
    <xf borderId="4" fillId="6" fontId="4" numFmtId="49" xfId="0" applyAlignment="1" applyBorder="1" applyFont="1" applyNumberFormat="1">
      <alignment vertical="bottom"/>
    </xf>
    <xf borderId="1" fillId="6" fontId="7" numFmtId="49" xfId="0" applyAlignment="1" applyBorder="1" applyFont="1" applyNumberFormat="1">
      <alignment horizontal="center" vertical="bottom"/>
    </xf>
    <xf borderId="4" fillId="16" fontId="4" numFmtId="168" xfId="0" applyAlignment="1" applyBorder="1" applyFont="1" applyNumberFormat="1">
      <alignment vertical="bottom"/>
    </xf>
    <xf borderId="0" fillId="3" fontId="4" numFmtId="4" xfId="0" applyAlignment="1" applyFont="1" applyNumberFormat="1">
      <alignment vertical="bottom"/>
    </xf>
    <xf borderId="4" fillId="6" fontId="4" numFmtId="0" xfId="0" applyAlignment="1" applyBorder="1" applyFont="1">
      <alignment horizontal="center" vertical="bottom"/>
    </xf>
    <xf borderId="4" fillId="6" fontId="5" numFmtId="49" xfId="0" applyAlignment="1" applyBorder="1" applyFont="1" applyNumberFormat="1">
      <alignment vertical="bottom"/>
    </xf>
    <xf borderId="4" fillId="6" fontId="5" numFmtId="0" xfId="0" applyAlignment="1" applyBorder="1" applyFont="1">
      <alignment horizontal="center" vertical="bottom"/>
    </xf>
    <xf borderId="4" fillId="6" fontId="4" numFmtId="11" xfId="0" applyAlignment="1" applyBorder="1" applyFont="1" applyNumberFormat="1">
      <alignment horizontal="center" vertical="bottom"/>
    </xf>
    <xf borderId="4" fillId="6" fontId="5" numFmtId="4" xfId="0" applyAlignment="1" applyBorder="1" applyFont="1" applyNumberFormat="1">
      <alignment horizontal="center" vertical="bottom"/>
    </xf>
    <xf borderId="0" fillId="3" fontId="7" numFmtId="4" xfId="0" applyAlignment="1" applyFont="1" applyNumberFormat="1">
      <alignment horizontal="center" readingOrder="0" vertical="bottom"/>
    </xf>
    <xf borderId="0" fillId="6" fontId="1" numFmtId="0" xfId="0" applyAlignment="1" applyFont="1">
      <alignment readingOrder="0"/>
    </xf>
    <xf borderId="4" fillId="6" fontId="7" numFmtId="4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4" fillId="0" fontId="5" numFmtId="0" xfId="0" applyAlignment="1" applyBorder="1" applyFont="1">
      <alignment horizontal="right" vertical="bottom"/>
    </xf>
    <xf borderId="0" fillId="16" fontId="4" numFmtId="166" xfId="0" applyAlignment="1" applyFont="1" applyNumberFormat="1">
      <alignment readingOrder="0" vertical="bottom"/>
    </xf>
    <xf borderId="4" fillId="13" fontId="11" numFmtId="164" xfId="0" applyAlignment="1" applyBorder="1" applyFont="1" applyNumberFormat="1">
      <alignment horizontal="center" readingOrder="0"/>
    </xf>
    <xf borderId="4" fillId="19" fontId="5" numFmtId="170" xfId="0" applyAlignment="1" applyBorder="1" applyFill="1" applyFont="1" applyNumberFormat="1">
      <alignment horizontal="center" readingOrder="0" vertical="bottom"/>
    </xf>
    <xf borderId="4" fillId="10" fontId="13" numFmtId="164" xfId="0" applyAlignment="1" applyBorder="1" applyFont="1" applyNumberFormat="1">
      <alignment horizontal="center" readingOrder="0"/>
    </xf>
    <xf borderId="4" fillId="19" fontId="5" numFmtId="49" xfId="0" applyAlignment="1" applyBorder="1" applyFont="1" applyNumberFormat="1">
      <alignment horizontal="center" readingOrder="0" vertical="bottom"/>
    </xf>
    <xf borderId="4" fillId="10" fontId="13" numFmtId="166" xfId="0" applyAlignment="1" applyBorder="1" applyFont="1" applyNumberFormat="1">
      <alignment horizontal="center" readingOrder="0"/>
    </xf>
    <xf borderId="4" fillId="19" fontId="5" numFmtId="0" xfId="0" applyAlignment="1" applyBorder="1" applyFont="1">
      <alignment horizontal="center" readingOrder="0" vertical="bottom"/>
    </xf>
    <xf borderId="4" fillId="16" fontId="4" numFmtId="168" xfId="0" applyAlignment="1" applyBorder="1" applyFont="1" applyNumberFormat="1">
      <alignment readingOrder="0" vertical="bottom"/>
    </xf>
    <xf borderId="4" fillId="19" fontId="5" numFmtId="11" xfId="0" applyAlignment="1" applyBorder="1" applyFont="1" applyNumberFormat="1">
      <alignment horizontal="center" readingOrder="0" vertical="bottom"/>
    </xf>
    <xf borderId="0" fillId="3" fontId="10" numFmtId="4" xfId="0" applyAlignment="1" applyFont="1" applyNumberFormat="1">
      <alignment horizontal="center" vertical="bottom"/>
    </xf>
    <xf borderId="4" fillId="19" fontId="4" numFmtId="49" xfId="0" applyAlignment="1" applyBorder="1" applyFont="1" applyNumberFormat="1">
      <alignment readingOrder="0" vertical="bottom"/>
    </xf>
    <xf borderId="4" fillId="19" fontId="5" numFmtId="4" xfId="0" applyAlignment="1" applyBorder="1" applyFont="1" applyNumberFormat="1">
      <alignment horizontal="center" readingOrder="0" vertical="bottom"/>
    </xf>
    <xf borderId="4" fillId="19" fontId="5" numFmtId="166" xfId="0" applyAlignment="1" applyBorder="1" applyFont="1" applyNumberFormat="1">
      <alignment horizontal="center" readingOrder="0" vertical="bottom"/>
    </xf>
    <xf borderId="4" fillId="16" fontId="4" numFmtId="0" xfId="0" applyAlignment="1" applyBorder="1" applyFont="1">
      <alignment readingOrder="0"/>
    </xf>
    <xf borderId="4" fillId="19" fontId="4" numFmtId="171" xfId="0" applyAlignment="1" applyBorder="1" applyFont="1" applyNumberFormat="1">
      <alignment horizontal="center" readingOrder="0" vertical="bottom"/>
    </xf>
    <xf borderId="4" fillId="6" fontId="5" numFmtId="0" xfId="0" applyAlignment="1" applyBorder="1" applyFont="1">
      <alignment vertical="bottom"/>
    </xf>
    <xf borderId="4" fillId="19" fontId="1" numFmtId="3" xfId="0" applyBorder="1" applyFont="1" applyNumberFormat="1"/>
    <xf borderId="0" fillId="4" fontId="1" numFmtId="0" xfId="0" applyFont="1"/>
    <xf borderId="0" fillId="16" fontId="4" numFmtId="166" xfId="0" applyAlignment="1" applyFont="1" applyNumberFormat="1">
      <alignment horizontal="right" vertical="bottom"/>
    </xf>
    <xf borderId="4" fillId="19" fontId="10" numFmtId="3" xfId="0" applyAlignment="1" applyBorder="1" applyFont="1" applyNumberFormat="1">
      <alignment horizontal="center" vertical="bottom"/>
    </xf>
    <xf borderId="4" fillId="7" fontId="4" numFmtId="3" xfId="0" applyAlignment="1" applyBorder="1" applyFont="1" applyNumberFormat="1">
      <alignment horizontal="center" readingOrder="0"/>
    </xf>
    <xf borderId="0" fillId="6" fontId="4" numFmtId="166" xfId="0" applyAlignment="1" applyFont="1" applyNumberFormat="1">
      <alignment horizontal="right" vertical="bottom"/>
    </xf>
    <xf borderId="1" fillId="6" fontId="14" numFmtId="49" xfId="0" applyAlignment="1" applyBorder="1" applyFont="1" applyNumberFormat="1">
      <alignment horizontal="center" readingOrder="0" vertical="bottom"/>
    </xf>
    <xf borderId="4" fillId="19" fontId="4" numFmtId="49" xfId="0" applyAlignment="1" applyBorder="1" applyFont="1" applyNumberFormat="1">
      <alignment horizontal="center" readingOrder="0" vertical="bottom"/>
    </xf>
    <xf borderId="4" fillId="19" fontId="4" numFmtId="0" xfId="0" applyAlignment="1" applyBorder="1" applyFont="1">
      <alignment horizontal="center" readingOrder="0" vertical="bottom"/>
    </xf>
    <xf borderId="4" fillId="16" fontId="4" numFmtId="168" xfId="0" applyAlignment="1" applyBorder="1" applyFont="1" applyNumberFormat="1">
      <alignment horizontal="center" readingOrder="0" vertical="bottom"/>
    </xf>
    <xf borderId="4" fillId="19" fontId="4" numFmtId="4" xfId="0" applyAlignment="1" applyBorder="1" applyFont="1" applyNumberFormat="1">
      <alignment horizontal="center" readingOrder="0" vertical="bottom"/>
    </xf>
    <xf borderId="4" fillId="19" fontId="4" numFmtId="166" xfId="0" applyAlignment="1" applyBorder="1" applyFont="1" applyNumberFormat="1">
      <alignment horizontal="center" readingOrder="0" vertical="bottom"/>
    </xf>
    <xf borderId="4" fillId="19" fontId="5" numFmtId="171" xfId="0" applyAlignment="1" applyBorder="1" applyFont="1" applyNumberFormat="1">
      <alignment horizontal="center" readingOrder="0" vertical="bottom"/>
    </xf>
    <xf borderId="4" fillId="19" fontId="5" numFmtId="172" xfId="0" applyAlignment="1" applyBorder="1" applyFont="1" applyNumberFormat="1">
      <alignment horizontal="center" readingOrder="0" vertical="bottom"/>
    </xf>
    <xf borderId="0" fillId="15" fontId="4" numFmtId="166" xfId="0" applyAlignment="1" applyFont="1" applyNumberFormat="1">
      <alignment horizontal="right" vertical="bottom"/>
    </xf>
    <xf borderId="4" fillId="19" fontId="4" numFmtId="0" xfId="0" applyAlignment="1" applyBorder="1" applyFont="1">
      <alignment readingOrder="0" vertical="bottom"/>
    </xf>
    <xf borderId="0" fillId="19" fontId="4" numFmtId="4" xfId="0" applyAlignment="1" applyFont="1" applyNumberFormat="1">
      <alignment horizontal="center" readingOrder="0" vertical="bottom"/>
    </xf>
    <xf borderId="4" fillId="19" fontId="10" numFmtId="4" xfId="0" applyAlignment="1" applyBorder="1" applyFont="1" applyNumberFormat="1">
      <alignment horizontal="center" vertical="bottom"/>
    </xf>
    <xf borderId="4" fillId="8" fontId="4" numFmtId="3" xfId="0" applyAlignment="1" applyBorder="1" applyFont="1" applyNumberFormat="1">
      <alignment horizontal="center" readingOrder="0" vertical="bottom"/>
    </xf>
    <xf borderId="4" fillId="19" fontId="4" numFmtId="170" xfId="0" applyAlignment="1" applyBorder="1" applyFont="1" applyNumberFormat="1">
      <alignment horizontal="center" readingOrder="0" vertical="bottom"/>
    </xf>
    <xf borderId="4" fillId="19" fontId="4" numFmtId="49" xfId="0" applyAlignment="1" applyBorder="1" applyFont="1" applyNumberFormat="1">
      <alignment vertical="bottom"/>
    </xf>
    <xf borderId="4" fillId="19" fontId="4" numFmtId="4" xfId="0" applyAlignment="1" applyBorder="1" applyFont="1" applyNumberFormat="1">
      <alignment readingOrder="0" vertical="bottom"/>
    </xf>
    <xf borderId="4" fillId="19" fontId="4" numFmtId="167" xfId="0" applyAlignment="1" applyBorder="1" applyFont="1" applyNumberFormat="1">
      <alignment vertical="bottom"/>
    </xf>
    <xf borderId="4" fillId="19" fontId="4" numFmtId="11" xfId="0" applyAlignment="1" applyBorder="1" applyFont="1" applyNumberFormat="1">
      <alignment horizontal="center" readingOrder="0" vertical="bottom"/>
    </xf>
    <xf borderId="4" fillId="19" fontId="1" numFmtId="0" xfId="0" applyBorder="1" applyFont="1"/>
    <xf borderId="4" fillId="8" fontId="4" numFmtId="166" xfId="0" applyAlignment="1" applyBorder="1" applyFont="1" applyNumberFormat="1">
      <alignment horizontal="center" readingOrder="0" vertical="bottom"/>
    </xf>
    <xf borderId="4" fillId="8" fontId="10" numFmtId="4" xfId="0" applyAlignment="1" applyBorder="1" applyFont="1" applyNumberFormat="1">
      <alignment horizontal="center" vertical="bottom"/>
    </xf>
    <xf borderId="4" fillId="19" fontId="4" numFmtId="4" xfId="0" applyAlignment="1" applyBorder="1" applyFont="1" applyNumberFormat="1">
      <alignment vertical="bottom"/>
    </xf>
    <xf borderId="0" fillId="19" fontId="4" numFmtId="0" xfId="0" applyAlignment="1" applyFont="1">
      <alignment readingOrder="0" vertical="bottom"/>
    </xf>
    <xf borderId="4" fillId="19" fontId="4" numFmtId="171" xfId="0" applyAlignment="1" applyBorder="1" applyFont="1" applyNumberFormat="1">
      <alignment vertical="bottom"/>
    </xf>
    <xf borderId="4" fillId="19" fontId="4" numFmtId="0" xfId="0" applyAlignment="1" applyBorder="1" applyFont="1">
      <alignment vertical="bottom"/>
    </xf>
    <xf borderId="4" fillId="19" fontId="4" numFmtId="11" xfId="0" applyAlignment="1" applyBorder="1" applyFont="1" applyNumberFormat="1">
      <alignment vertical="bottom"/>
    </xf>
    <xf borderId="4" fillId="16" fontId="4" numFmtId="0" xfId="0" applyAlignment="1" applyBorder="1" applyFont="1">
      <alignment horizontal="center" vertical="bottom"/>
    </xf>
    <xf borderId="4" fillId="19" fontId="4" numFmtId="0" xfId="0" applyAlignment="1" applyBorder="1" applyFont="1">
      <alignment horizontal="center" vertical="bottom"/>
    </xf>
    <xf borderId="4" fillId="19" fontId="4" numFmtId="49" xfId="0" applyAlignment="1" applyBorder="1" applyFont="1" applyNumberFormat="1">
      <alignment horizontal="center" vertical="bottom"/>
    </xf>
    <xf borderId="4" fillId="19" fontId="4" numFmtId="166" xfId="0" applyAlignment="1" applyBorder="1" applyFont="1" applyNumberFormat="1">
      <alignment vertical="bottom"/>
    </xf>
    <xf borderId="4" fillId="19" fontId="4" numFmtId="4" xfId="0" applyAlignment="1" applyBorder="1" applyFont="1" applyNumberFormat="1">
      <alignment horizontal="center" vertical="bottom"/>
    </xf>
    <xf borderId="4" fillId="19" fontId="4" numFmtId="166" xfId="0" applyAlignment="1" applyBorder="1" applyFont="1" applyNumberFormat="1">
      <alignment horizontal="center" vertical="bottom"/>
    </xf>
    <xf borderId="4" fillId="20" fontId="10" numFmtId="3" xfId="0" applyAlignment="1" applyBorder="1" applyFill="1" applyFont="1" applyNumberFormat="1">
      <alignment horizontal="center" vertical="bottom"/>
    </xf>
    <xf borderId="4" fillId="9" fontId="4" numFmtId="3" xfId="0" applyAlignment="1" applyBorder="1" applyFont="1" applyNumberFormat="1">
      <alignment horizontal="center" readingOrder="0" vertical="bottom"/>
    </xf>
    <xf borderId="4" fillId="19" fontId="4" numFmtId="170" xfId="0" applyAlignment="1" applyBorder="1" applyFont="1" applyNumberFormat="1">
      <alignment vertical="bottom"/>
    </xf>
    <xf borderId="4" fillId="16" fontId="4" numFmtId="3" xfId="0" applyAlignment="1" applyBorder="1" applyFont="1" applyNumberFormat="1">
      <alignment horizontal="center" vertical="bottom"/>
    </xf>
    <xf borderId="4" fillId="19" fontId="1" numFmtId="0" xfId="0" applyAlignment="1" applyBorder="1" applyFont="1">
      <alignment readingOrder="0"/>
    </xf>
    <xf borderId="4" fillId="16" fontId="4" numFmtId="171" xfId="0" applyAlignment="1" applyBorder="1" applyFont="1" applyNumberFormat="1">
      <alignment vertical="bottom"/>
    </xf>
    <xf borderId="0" fillId="15" fontId="4" numFmtId="4" xfId="0" applyAlignment="1" applyFont="1" applyNumberFormat="1">
      <alignment vertical="bottom"/>
    </xf>
    <xf borderId="0" fillId="6" fontId="4" numFmtId="0" xfId="0" applyAlignment="1" applyFont="1">
      <alignment vertical="bottom"/>
    </xf>
    <xf borderId="5" fillId="7" fontId="4" numFmtId="3" xfId="0" applyAlignment="1" applyBorder="1" applyFont="1" applyNumberFormat="1">
      <alignment horizontal="center" readingOrder="0" vertical="bottom"/>
    </xf>
    <xf borderId="0" fillId="10" fontId="13" numFmtId="164" xfId="0" applyAlignment="1" applyFont="1" applyNumberFormat="1">
      <alignment horizontal="center" readingOrder="0" vertical="bottom"/>
    </xf>
    <xf borderId="0" fillId="10" fontId="4" numFmtId="0" xfId="0" applyAlignment="1" applyFont="1">
      <alignment vertical="bottom"/>
    </xf>
    <xf borderId="0" fillId="17" fontId="4" numFmtId="166" xfId="0" applyAlignment="1" applyFont="1" applyNumberFormat="1">
      <alignment horizontal="right" vertical="bottom"/>
    </xf>
    <xf borderId="0" fillId="0" fontId="4" numFmtId="49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3" fontId="15" numFmtId="4" xfId="0" applyAlignment="1" applyFont="1" applyNumberFormat="1">
      <alignment horizontal="right" vertical="bottom"/>
    </xf>
    <xf borderId="0" fillId="3" fontId="4" numFmtId="49" xfId="0" applyAlignment="1" applyFont="1" applyNumberFormat="1">
      <alignment vertical="bottom"/>
    </xf>
    <xf borderId="1" fillId="10" fontId="14" numFmtId="49" xfId="0" applyAlignment="1" applyBorder="1" applyFont="1" applyNumberFormat="1">
      <alignment horizontal="center" readingOrder="0" vertical="bottom"/>
    </xf>
    <xf borderId="4" fillId="10" fontId="4" numFmtId="49" xfId="0" applyAlignment="1" applyBorder="1" applyFont="1" applyNumberFormat="1">
      <alignment vertical="bottom"/>
    </xf>
    <xf borderId="1" fillId="10" fontId="7" numFmtId="49" xfId="0" applyAlignment="1" applyBorder="1" applyFont="1" applyNumberFormat="1">
      <alignment horizontal="center" vertical="bottom"/>
    </xf>
    <xf borderId="0" fillId="0" fontId="4" numFmtId="4" xfId="0" applyAlignment="1" applyFont="1" applyNumberFormat="1">
      <alignment vertical="bottom"/>
    </xf>
    <xf borderId="4" fillId="16" fontId="4" numFmtId="168" xfId="0" applyAlignment="1" applyBorder="1" applyFont="1" applyNumberFormat="1">
      <alignment horizontal="center" vertical="bottom"/>
    </xf>
    <xf borderId="4" fillId="10" fontId="4" numFmtId="0" xfId="0" applyAlignment="1" applyBorder="1" applyFont="1">
      <alignment horizontal="center" vertical="bottom"/>
    </xf>
    <xf borderId="4" fillId="10" fontId="5" numFmtId="49" xfId="0" applyAlignment="1" applyBorder="1" applyFont="1" applyNumberFormat="1">
      <alignment vertical="bottom"/>
    </xf>
    <xf borderId="4" fillId="10" fontId="5" numFmtId="0" xfId="0" applyAlignment="1" applyBorder="1" applyFont="1">
      <alignment horizontal="center" vertical="bottom"/>
    </xf>
    <xf borderId="4" fillId="10" fontId="4" numFmtId="11" xfId="0" applyAlignment="1" applyBorder="1" applyFont="1" applyNumberFormat="1">
      <alignment horizontal="center" vertical="bottom"/>
    </xf>
    <xf borderId="4" fillId="10" fontId="5" numFmtId="49" xfId="0" applyAlignment="1" applyBorder="1" applyFont="1" applyNumberFormat="1">
      <alignment horizontal="center" vertical="bottom"/>
    </xf>
    <xf borderId="4" fillId="10" fontId="5" numFmtId="4" xfId="0" applyAlignment="1" applyBorder="1" applyFont="1" applyNumberFormat="1">
      <alignment horizontal="center" vertical="bottom"/>
    </xf>
    <xf borderId="4" fillId="10" fontId="7" numFmtId="4" xfId="0" applyAlignment="1" applyBorder="1" applyFont="1" applyNumberFormat="1">
      <alignment horizontal="center" vertical="bottom"/>
    </xf>
    <xf borderId="1" fillId="10" fontId="5" numFmtId="4" xfId="0" applyAlignment="1" applyBorder="1" applyFont="1" applyNumberFormat="1">
      <alignment horizontal="center" vertical="bottom"/>
    </xf>
    <xf borderId="4" fillId="10" fontId="5" numFmtId="171" xfId="0" applyAlignment="1" applyBorder="1" applyFont="1" applyNumberFormat="1">
      <alignment horizontal="center" readingOrder="0" vertical="bottom"/>
    </xf>
    <xf borderId="6" fillId="16" fontId="4" numFmtId="3" xfId="0" applyAlignment="1" applyBorder="1" applyFont="1" applyNumberFormat="1">
      <alignment horizontal="center" vertical="bottom"/>
    </xf>
    <xf borderId="4" fillId="10" fontId="5" numFmtId="49" xfId="0" applyAlignment="1" applyBorder="1" applyFont="1" applyNumberFormat="1">
      <alignment horizontal="center" readingOrder="0" vertical="bottom"/>
    </xf>
    <xf borderId="4" fillId="10" fontId="5" numFmtId="0" xfId="0" applyAlignment="1" applyBorder="1" applyFont="1">
      <alignment horizontal="center" readingOrder="0" vertical="bottom"/>
    </xf>
    <xf borderId="4" fillId="10" fontId="5" numFmtId="11" xfId="0" applyAlignment="1" applyBorder="1" applyFont="1" applyNumberFormat="1">
      <alignment horizontal="center" readingOrder="0" vertical="bottom"/>
    </xf>
    <xf borderId="4" fillId="10" fontId="4" numFmtId="49" xfId="0" applyAlignment="1" applyBorder="1" applyFont="1" applyNumberFormat="1">
      <alignment horizontal="center" readingOrder="0" vertical="bottom"/>
    </xf>
    <xf borderId="4" fillId="10" fontId="5" numFmtId="4" xfId="0" applyAlignment="1" applyBorder="1" applyFont="1" applyNumberFormat="1">
      <alignment horizontal="center" readingOrder="0" vertical="bottom"/>
    </xf>
    <xf borderId="4" fillId="10" fontId="5" numFmtId="166" xfId="0" applyAlignment="1" applyBorder="1" applyFont="1" applyNumberFormat="1">
      <alignment horizontal="center" readingOrder="0" vertical="bottom"/>
    </xf>
    <xf borderId="4" fillId="10" fontId="4" numFmtId="171" xfId="0" applyAlignment="1" applyBorder="1" applyFont="1" applyNumberFormat="1">
      <alignment horizontal="center" readingOrder="0" vertical="bottom"/>
    </xf>
    <xf borderId="4" fillId="10" fontId="10" numFmtId="4" xfId="0" applyAlignment="1" applyBorder="1" applyFont="1" applyNumberFormat="1">
      <alignment horizontal="center" vertical="bottom"/>
    </xf>
    <xf borderId="0" fillId="16" fontId="1" numFmtId="0" xfId="0" applyFont="1"/>
    <xf borderId="1" fillId="10" fontId="10" numFmtId="4" xfId="0" applyAlignment="1" applyBorder="1" applyFont="1" applyNumberFormat="1">
      <alignment horizontal="center" vertical="bottom"/>
    </xf>
    <xf borderId="1" fillId="16" fontId="4" numFmtId="171" xfId="0" applyAlignment="1" applyBorder="1" applyFont="1" applyNumberFormat="1">
      <alignment vertical="bottom"/>
    </xf>
    <xf borderId="3" fillId="4" fontId="1" numFmtId="0" xfId="0" applyBorder="1" applyFont="1"/>
    <xf borderId="4" fillId="10" fontId="4" numFmtId="0" xfId="0" applyAlignment="1" applyBorder="1" applyFont="1">
      <alignment horizontal="center" readingOrder="0" vertical="bottom"/>
    </xf>
    <xf borderId="4" fillId="10" fontId="4" numFmtId="4" xfId="0" applyAlignment="1" applyBorder="1" applyFont="1" applyNumberFormat="1">
      <alignment horizontal="center" readingOrder="0" vertical="bottom"/>
    </xf>
    <xf borderId="4" fillId="10" fontId="4" numFmtId="166" xfId="0" applyAlignment="1" applyBorder="1" applyFont="1" applyNumberFormat="1">
      <alignment horizontal="center" readingOrder="0" vertical="bottom"/>
    </xf>
    <xf borderId="4" fillId="10" fontId="4" numFmtId="0" xfId="0" applyAlignment="1" applyBorder="1" applyFont="1">
      <alignment vertical="bottom"/>
    </xf>
    <xf borderId="4" fillId="10" fontId="4" numFmtId="167" xfId="0" applyAlignment="1" applyBorder="1" applyFont="1" applyNumberFormat="1">
      <alignment vertical="bottom"/>
    </xf>
    <xf borderId="0" fillId="10" fontId="4" numFmtId="167" xfId="0" applyAlignment="1" applyFont="1" applyNumberFormat="1">
      <alignment vertical="bottom"/>
    </xf>
    <xf borderId="0" fillId="10" fontId="4" numFmtId="4" xfId="0" applyAlignment="1" applyFont="1" applyNumberFormat="1">
      <alignment vertical="bottom"/>
    </xf>
    <xf borderId="7" fillId="16" fontId="4" numFmtId="3" xfId="0" applyAlignment="1" applyBorder="1" applyFont="1" applyNumberFormat="1">
      <alignment horizontal="center" vertical="bottom"/>
    </xf>
    <xf borderId="4" fillId="10" fontId="4" numFmtId="4" xfId="0" applyAlignment="1" applyBorder="1" applyFont="1" applyNumberFormat="1">
      <alignment vertical="bottom"/>
    </xf>
    <xf borderId="4" fillId="10" fontId="4" numFmtId="166" xfId="0" applyAlignment="1" applyBorder="1" applyFont="1" applyNumberFormat="1">
      <alignment vertical="bottom"/>
    </xf>
    <xf borderId="4" fillId="7" fontId="4" numFmtId="0" xfId="0" applyAlignment="1" applyBorder="1" applyFont="1">
      <alignment horizontal="center" readingOrder="0" vertical="bottom"/>
    </xf>
    <xf borderId="4" fillId="10" fontId="11" numFmtId="164" xfId="0" applyAlignment="1" applyBorder="1" applyFont="1" applyNumberFormat="1">
      <alignment horizontal="center" vertical="bottom"/>
    </xf>
    <xf borderId="4" fillId="10" fontId="11" numFmtId="166" xfId="0" applyAlignment="1" applyBorder="1" applyFont="1" applyNumberFormat="1">
      <alignment horizontal="center" vertical="bottom"/>
    </xf>
    <xf borderId="4" fillId="10" fontId="4" numFmtId="171" xfId="0" applyAlignment="1" applyBorder="1" applyFont="1" applyNumberFormat="1">
      <alignment vertical="bottom"/>
    </xf>
    <xf borderId="4" fillId="8" fontId="4" numFmtId="168" xfId="0" applyAlignment="1" applyBorder="1" applyFont="1" applyNumberFormat="1">
      <alignment horizontal="center" readingOrder="0" vertical="bottom"/>
    </xf>
    <xf borderId="4" fillId="10" fontId="5" numFmtId="0" xfId="0" applyAlignment="1" applyBorder="1" applyFont="1">
      <alignment vertical="bottom"/>
    </xf>
    <xf borderId="4" fillId="7" fontId="4" numFmtId="168" xfId="0" applyAlignment="1" applyBorder="1" applyFont="1" applyNumberFormat="1">
      <alignment horizontal="center" readingOrder="0" vertical="bottom"/>
    </xf>
    <xf borderId="4" fillId="10" fontId="4" numFmtId="170" xfId="0" applyAlignment="1" applyBorder="1" applyFont="1" applyNumberFormat="1">
      <alignment vertical="bottom"/>
    </xf>
    <xf borderId="4" fillId="10" fontId="5" numFmtId="172" xfId="0" applyAlignment="1" applyBorder="1" applyFont="1" applyNumberFormat="1">
      <alignment horizontal="center" readingOrder="0" vertical="bottom"/>
    </xf>
    <xf borderId="4" fillId="21" fontId="11" numFmtId="164" xfId="0" applyAlignment="1" applyBorder="1" applyFill="1" applyFont="1" applyNumberFormat="1">
      <alignment horizontal="center" readingOrder="0" vertical="bottom"/>
    </xf>
    <xf borderId="4" fillId="10" fontId="4" numFmtId="11" xfId="0" applyAlignment="1" applyBorder="1" applyFont="1" applyNumberFormat="1">
      <alignment horizontal="center" readingOrder="0" vertical="bottom"/>
    </xf>
    <xf borderId="4" fillId="7" fontId="15" numFmtId="168" xfId="0" applyAlignment="1" applyBorder="1" applyFont="1" applyNumberFormat="1">
      <alignment horizontal="center" readingOrder="0" vertical="bottom"/>
    </xf>
    <xf borderId="4" fillId="16" fontId="15" numFmtId="3" xfId="0" applyAlignment="1" applyBorder="1" applyFont="1" applyNumberFormat="1">
      <alignment horizontal="center" vertical="bottom"/>
    </xf>
    <xf borderId="0" fillId="0" fontId="15" numFmtId="4" xfId="0" applyAlignment="1" applyFont="1" applyNumberFormat="1">
      <alignment horizontal="right" vertical="bottom"/>
    </xf>
    <xf borderId="4" fillId="10" fontId="4" numFmtId="11" xfId="0" applyAlignment="1" applyBorder="1" applyFont="1" applyNumberFormat="1">
      <alignment vertical="bottom"/>
    </xf>
    <xf borderId="4" fillId="8" fontId="15" numFmtId="168" xfId="0" applyAlignment="1" applyBorder="1" applyFont="1" applyNumberFormat="1">
      <alignment horizontal="center" readingOrder="0" vertical="bottom"/>
    </xf>
    <xf borderId="4" fillId="9" fontId="15" numFmtId="168" xfId="0" applyAlignment="1" applyBorder="1" applyFont="1" applyNumberFormat="1">
      <alignment horizontal="center" readingOrder="0" vertical="bottom"/>
    </xf>
    <xf borderId="8" fillId="10" fontId="1" numFmtId="0" xfId="0" applyAlignment="1" applyBorder="1" applyFont="1">
      <alignment readingOrder="0"/>
    </xf>
    <xf borderId="4" fillId="21" fontId="11" numFmtId="164" xfId="0" applyAlignment="1" applyBorder="1" applyFont="1" applyNumberFormat="1">
      <alignment horizontal="center" vertical="bottom"/>
    </xf>
    <xf borderId="4" fillId="13" fontId="15" numFmtId="168" xfId="0" applyAlignment="1" applyBorder="1" applyFont="1" applyNumberFormat="1">
      <alignment horizontal="center" vertical="bottom"/>
    </xf>
    <xf borderId="2" fillId="10" fontId="1" numFmtId="0" xfId="0" applyBorder="1" applyFont="1"/>
    <xf borderId="9" fillId="10" fontId="1" numFmtId="0" xfId="0" applyBorder="1" applyFont="1"/>
    <xf borderId="4" fillId="22" fontId="11" numFmtId="164" xfId="0" applyAlignment="1" applyBorder="1" applyFill="1" applyFont="1" applyNumberFormat="1">
      <alignment horizontal="center" vertical="bottom"/>
    </xf>
    <xf borderId="4" fillId="23" fontId="15" numFmtId="3" xfId="0" applyAlignment="1" applyBorder="1" applyFill="1" applyFont="1" applyNumberFormat="1">
      <alignment horizontal="center" vertical="bottom"/>
    </xf>
    <xf borderId="4" fillId="24" fontId="1" numFmtId="164" xfId="0" applyBorder="1" applyFill="1" applyFont="1" applyNumberFormat="1"/>
    <xf borderId="0" fillId="0" fontId="11" numFmtId="166" xfId="0" applyFont="1" applyNumberFormat="1"/>
    <xf borderId="0" fillId="0" fontId="16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5.75"/>
    <col customWidth="1" min="3" max="3" width="16.25"/>
    <col customWidth="1" min="4" max="4" width="37.13"/>
    <col customWidth="1" min="5" max="5" width="16.25"/>
    <col customWidth="1" min="6" max="6" width="26.13"/>
    <col customWidth="1" min="7" max="7" width="20.88"/>
    <col customWidth="1" min="8" max="8" width="15.38"/>
    <col customWidth="1" min="11" max="11" width="16.0"/>
    <col customWidth="1" min="12" max="12" width="13.88"/>
    <col customWidth="1" min="14" max="14" width="19.13"/>
    <col customWidth="1" min="15" max="15" width="16.63"/>
    <col customWidth="1" min="18" max="18" width="30.88"/>
    <col customWidth="1" min="19" max="19" width="22.13"/>
    <col customWidth="1" min="21" max="21" width="19.38"/>
    <col customWidth="1" min="22" max="22" width="18.88"/>
    <col customWidth="1" min="23" max="23" width="15.63"/>
    <col customWidth="1" min="24" max="24" width="17.38"/>
  </cols>
  <sheetData>
    <row r="1">
      <c r="C1" s="2"/>
      <c r="D1" s="3" t="s">
        <v>1</v>
      </c>
      <c r="E1" s="4"/>
      <c r="J1" s="6"/>
      <c r="M1" s="8"/>
      <c r="R1" s="10"/>
      <c r="S1" s="4"/>
    </row>
    <row r="2">
      <c r="C2" s="2"/>
      <c r="D2" s="13">
        <f>S54-E54</f>
        <v>3366000</v>
      </c>
      <c r="E2" s="4"/>
      <c r="J2" s="6"/>
      <c r="M2" s="8"/>
      <c r="S2" s="4"/>
    </row>
    <row r="3">
      <c r="C3" s="2"/>
      <c r="D3" s="15" t="s">
        <v>3</v>
      </c>
      <c r="E3" s="4"/>
      <c r="J3" s="6"/>
      <c r="K3" s="17" t="s">
        <v>4</v>
      </c>
      <c r="L3" s="18" t="s">
        <v>5</v>
      </c>
      <c r="M3" s="19" t="s">
        <v>8</v>
      </c>
      <c r="S3" s="4"/>
    </row>
    <row r="4">
      <c r="C4" s="2"/>
      <c r="D4" s="23">
        <f>M54-C54</f>
        <v>0</v>
      </c>
      <c r="E4" s="4"/>
      <c r="J4" s="6"/>
      <c r="K4" s="24"/>
      <c r="L4" s="24"/>
      <c r="M4" s="26"/>
      <c r="S4" s="4"/>
    </row>
    <row r="5">
      <c r="B5" s="27"/>
      <c r="C5" s="28"/>
      <c r="D5" s="29" t="s">
        <v>11</v>
      </c>
      <c r="G5" s="30" t="s">
        <v>12</v>
      </c>
      <c r="N5" s="32" t="s">
        <v>13</v>
      </c>
      <c r="O5" s="7"/>
      <c r="P5" s="7"/>
      <c r="Q5" s="7"/>
      <c r="R5" s="7"/>
      <c r="S5" s="9"/>
    </row>
    <row r="6">
      <c r="B6" s="33" t="s">
        <v>14</v>
      </c>
      <c r="C6" s="35" t="s">
        <v>15</v>
      </c>
      <c r="D6" s="9"/>
      <c r="E6" s="36" t="s">
        <v>16</v>
      </c>
      <c r="F6" s="9"/>
      <c r="G6" s="37" t="s">
        <v>17</v>
      </c>
      <c r="H6" s="38" t="s">
        <v>18</v>
      </c>
      <c r="I6" s="37" t="s">
        <v>19</v>
      </c>
      <c r="J6" s="37" t="s">
        <v>20</v>
      </c>
      <c r="K6" s="37" t="s">
        <v>21</v>
      </c>
      <c r="L6" s="40" t="s">
        <v>22</v>
      </c>
      <c r="M6" s="9"/>
      <c r="N6" s="42" t="s">
        <v>24</v>
      </c>
      <c r="O6" s="42" t="s">
        <v>18</v>
      </c>
      <c r="P6" s="42" t="s">
        <v>19</v>
      </c>
      <c r="Q6" s="42" t="s">
        <v>20</v>
      </c>
      <c r="R6" s="42" t="s">
        <v>21</v>
      </c>
      <c r="S6" s="44" t="s">
        <v>25</v>
      </c>
      <c r="U6" s="45" t="s">
        <v>26</v>
      </c>
      <c r="V6" s="47" t="s">
        <v>27</v>
      </c>
      <c r="W6" s="49" t="s">
        <v>28</v>
      </c>
      <c r="X6" s="50" t="s">
        <v>29</v>
      </c>
      <c r="Y6" s="51" t="s">
        <v>30</v>
      </c>
    </row>
    <row r="7">
      <c r="B7" s="52">
        <v>1.0</v>
      </c>
      <c r="C7" s="54">
        <v>175000.0</v>
      </c>
      <c r="D7" s="55" t="s">
        <v>31</v>
      </c>
      <c r="E7" s="56">
        <v>1000000.0</v>
      </c>
      <c r="F7" s="58" t="s">
        <v>32</v>
      </c>
      <c r="G7" s="59" t="s">
        <v>33</v>
      </c>
      <c r="H7" s="60"/>
      <c r="I7" s="61"/>
      <c r="J7" s="63" t="s">
        <v>35</v>
      </c>
      <c r="K7" s="59" t="s">
        <v>36</v>
      </c>
      <c r="L7" s="59" t="s">
        <v>37</v>
      </c>
      <c r="M7" s="64">
        <v>647021.0</v>
      </c>
      <c r="N7" s="42" t="s">
        <v>38</v>
      </c>
      <c r="O7" s="67"/>
      <c r="P7" s="67"/>
      <c r="Q7" s="42" t="s">
        <v>35</v>
      </c>
      <c r="R7" s="42" t="s">
        <v>39</v>
      </c>
      <c r="S7" s="44">
        <v>450000.0</v>
      </c>
      <c r="U7" s="45"/>
      <c r="V7" s="69"/>
      <c r="W7" s="49"/>
      <c r="X7" s="50"/>
      <c r="Y7" s="70"/>
    </row>
    <row r="8">
      <c r="B8" s="52">
        <v>2.0</v>
      </c>
      <c r="C8" s="54">
        <v>100000.0</v>
      </c>
      <c r="D8" s="55" t="s">
        <v>40</v>
      </c>
      <c r="E8" s="56">
        <v>1104000.0</v>
      </c>
      <c r="F8" s="58" t="s">
        <v>41</v>
      </c>
      <c r="G8" s="59" t="s">
        <v>42</v>
      </c>
      <c r="H8" s="60"/>
      <c r="I8" s="61"/>
      <c r="J8" s="63" t="s">
        <v>35</v>
      </c>
      <c r="K8" s="59"/>
      <c r="L8" s="59" t="s">
        <v>37</v>
      </c>
      <c r="M8" s="64">
        <v>50000.0</v>
      </c>
      <c r="N8" s="42" t="s">
        <v>44</v>
      </c>
      <c r="O8" s="67"/>
      <c r="P8" s="67"/>
      <c r="Q8" s="42" t="s">
        <v>35</v>
      </c>
      <c r="R8" s="42" t="s">
        <v>45</v>
      </c>
      <c r="S8" s="44">
        <v>1654000.0</v>
      </c>
      <c r="U8" s="45" t="s">
        <v>46</v>
      </c>
      <c r="V8" s="69" t="s">
        <v>47</v>
      </c>
      <c r="W8" s="49" t="s">
        <v>48</v>
      </c>
      <c r="X8" s="50"/>
      <c r="Y8" s="70"/>
    </row>
    <row r="9">
      <c r="B9" s="52">
        <v>3.0</v>
      </c>
      <c r="C9" s="74">
        <v>30000.0</v>
      </c>
      <c r="D9" s="55" t="s">
        <v>49</v>
      </c>
      <c r="E9" s="76">
        <v>226000.0</v>
      </c>
      <c r="F9" s="77" t="s">
        <v>50</v>
      </c>
      <c r="G9" s="78" t="s">
        <v>51</v>
      </c>
      <c r="H9" s="79"/>
      <c r="I9" s="61"/>
      <c r="J9" s="63" t="s">
        <v>35</v>
      </c>
      <c r="K9" s="80"/>
      <c r="L9" s="59" t="s">
        <v>37</v>
      </c>
      <c r="M9" s="64">
        <v>75000.0</v>
      </c>
      <c r="N9" s="42" t="s">
        <v>53</v>
      </c>
      <c r="O9" s="67"/>
      <c r="P9" s="67"/>
      <c r="Q9" s="67"/>
      <c r="R9" s="42" t="s">
        <v>54</v>
      </c>
      <c r="S9" s="44">
        <v>2726000.0</v>
      </c>
      <c r="U9" s="82"/>
      <c r="V9" s="47"/>
      <c r="W9" s="49"/>
      <c r="X9" s="50"/>
      <c r="Y9" s="84"/>
    </row>
    <row r="10">
      <c r="B10" s="52">
        <v>4.0</v>
      </c>
      <c r="C10" s="74">
        <v>30000.0</v>
      </c>
      <c r="D10" s="55" t="s">
        <v>56</v>
      </c>
      <c r="E10" s="85"/>
      <c r="F10" s="86"/>
      <c r="G10" s="78" t="s">
        <v>57</v>
      </c>
      <c r="H10" s="60"/>
      <c r="I10" s="61"/>
      <c r="J10" s="63" t="s">
        <v>35</v>
      </c>
      <c r="K10" s="89"/>
      <c r="L10" s="59" t="s">
        <v>37</v>
      </c>
      <c r="M10" s="64">
        <v>50000.0</v>
      </c>
      <c r="N10" s="42" t="s">
        <v>58</v>
      </c>
      <c r="O10" s="67"/>
      <c r="P10" s="67"/>
      <c r="Q10" s="42" t="s">
        <v>35</v>
      </c>
      <c r="R10" s="42" t="s">
        <v>60</v>
      </c>
      <c r="S10" s="44">
        <v>266000.0</v>
      </c>
      <c r="U10" s="82"/>
      <c r="V10" s="47"/>
      <c r="W10" s="91"/>
      <c r="X10" s="50"/>
      <c r="Y10" s="70"/>
    </row>
    <row r="11">
      <c r="B11" s="52">
        <v>5.0</v>
      </c>
      <c r="C11" s="74">
        <v>20000.0</v>
      </c>
      <c r="D11" s="55" t="s">
        <v>61</v>
      </c>
      <c r="E11" s="85"/>
      <c r="F11" s="86"/>
      <c r="G11" s="59" t="s">
        <v>62</v>
      </c>
      <c r="H11" s="93"/>
      <c r="I11" s="94"/>
      <c r="J11" s="63" t="s">
        <v>35</v>
      </c>
      <c r="K11" s="61"/>
      <c r="L11" s="59" t="s">
        <v>37</v>
      </c>
      <c r="M11" s="64">
        <v>727000.0</v>
      </c>
      <c r="N11" s="42" t="s">
        <v>63</v>
      </c>
      <c r="O11" s="67"/>
      <c r="P11" s="67"/>
      <c r="Q11" s="42" t="s">
        <v>35</v>
      </c>
      <c r="R11" s="42" t="s">
        <v>45</v>
      </c>
      <c r="S11" s="44">
        <v>100000.0</v>
      </c>
      <c r="U11" s="82"/>
      <c r="V11" s="47"/>
      <c r="W11" s="91"/>
      <c r="X11" s="50"/>
      <c r="Y11" s="70"/>
    </row>
    <row r="12">
      <c r="B12" s="52">
        <v>6.0</v>
      </c>
      <c r="C12" s="74">
        <v>30000.0</v>
      </c>
      <c r="D12" s="55" t="s">
        <v>65</v>
      </c>
      <c r="E12" s="85"/>
      <c r="F12" s="86"/>
      <c r="G12" s="59" t="s">
        <v>66</v>
      </c>
      <c r="H12" s="93"/>
      <c r="I12" s="61"/>
      <c r="J12" s="63" t="s">
        <v>35</v>
      </c>
      <c r="K12" s="99"/>
      <c r="L12" s="59" t="s">
        <v>37</v>
      </c>
      <c r="M12" s="64">
        <v>110500.0</v>
      </c>
      <c r="N12" s="42" t="s">
        <v>68</v>
      </c>
      <c r="O12" s="67"/>
      <c r="P12" s="67"/>
      <c r="Q12" s="42" t="s">
        <v>35</v>
      </c>
      <c r="R12" s="42" t="s">
        <v>45</v>
      </c>
      <c r="S12" s="44">
        <v>500000.0</v>
      </c>
      <c r="U12" s="82"/>
      <c r="V12" s="47"/>
      <c r="W12" s="49"/>
      <c r="X12" s="50"/>
      <c r="Y12" s="70"/>
    </row>
    <row r="13">
      <c r="B13" s="110">
        <f>B12+1</f>
        <v>7</v>
      </c>
      <c r="C13" s="112">
        <v>30000.0</v>
      </c>
      <c r="D13" s="55" t="s">
        <v>81</v>
      </c>
      <c r="E13" s="114"/>
      <c r="F13" s="116"/>
      <c r="G13" s="118" t="s">
        <v>84</v>
      </c>
      <c r="H13" s="93"/>
      <c r="I13" s="61"/>
      <c r="J13" s="63" t="s">
        <v>35</v>
      </c>
      <c r="K13" s="59" t="s">
        <v>87</v>
      </c>
      <c r="L13" s="124" t="s">
        <v>37</v>
      </c>
      <c r="M13" s="64">
        <v>1000000.0</v>
      </c>
      <c r="N13" s="67"/>
      <c r="O13" s="67"/>
      <c r="P13" s="67"/>
      <c r="Q13" s="67"/>
      <c r="R13" s="67"/>
      <c r="S13" s="128"/>
      <c r="U13" s="82"/>
      <c r="V13" s="129"/>
      <c r="W13" s="91"/>
      <c r="X13" s="50"/>
      <c r="Y13" s="70"/>
    </row>
    <row r="14">
      <c r="B14" s="52">
        <v>8.0</v>
      </c>
      <c r="C14" s="74">
        <v>30000.0</v>
      </c>
      <c r="D14" s="131" t="s">
        <v>88</v>
      </c>
      <c r="E14" s="85"/>
      <c r="F14" s="86"/>
      <c r="G14" s="59" t="s">
        <v>90</v>
      </c>
      <c r="H14" s="93"/>
      <c r="I14" s="61"/>
      <c r="J14" s="136" t="s">
        <v>35</v>
      </c>
      <c r="K14" s="118" t="s">
        <v>45</v>
      </c>
      <c r="L14" s="59" t="s">
        <v>37</v>
      </c>
      <c r="M14" s="131">
        <v>101000.0</v>
      </c>
      <c r="N14" s="67"/>
      <c r="O14" s="67"/>
      <c r="P14" s="67"/>
      <c r="Q14" s="67"/>
      <c r="R14" s="67"/>
      <c r="S14" s="10"/>
      <c r="U14" s="141"/>
      <c r="V14" s="47"/>
      <c r="W14" s="49"/>
      <c r="X14" s="50"/>
      <c r="Y14" s="70"/>
    </row>
    <row r="15">
      <c r="B15" s="52">
        <v>9.0</v>
      </c>
      <c r="C15" s="74">
        <v>61985.0</v>
      </c>
      <c r="D15" s="55" t="s">
        <v>98</v>
      </c>
      <c r="E15" s="85"/>
      <c r="F15" s="86"/>
      <c r="G15" s="59" t="s">
        <v>100</v>
      </c>
      <c r="H15" s="93"/>
      <c r="I15" s="61"/>
      <c r="J15" s="63" t="s">
        <v>35</v>
      </c>
      <c r="K15" s="118" t="s">
        <v>45</v>
      </c>
      <c r="L15" s="59" t="s">
        <v>101</v>
      </c>
      <c r="M15" s="145">
        <v>1644864.0</v>
      </c>
      <c r="N15" s="67"/>
      <c r="O15" s="67"/>
      <c r="P15" s="67"/>
      <c r="Q15" s="67"/>
      <c r="R15" s="67"/>
      <c r="S15" s="10"/>
      <c r="U15" s="82"/>
      <c r="V15" s="47"/>
      <c r="W15" s="91"/>
      <c r="X15" s="50"/>
      <c r="Y15" s="70"/>
    </row>
    <row r="16">
      <c r="B16" s="52">
        <v>10.0</v>
      </c>
      <c r="C16" s="74">
        <v>61985.0</v>
      </c>
      <c r="D16" s="55" t="s">
        <v>106</v>
      </c>
      <c r="E16" s="85"/>
      <c r="F16" s="86"/>
      <c r="G16" s="59" t="s">
        <v>107</v>
      </c>
      <c r="H16" s="93"/>
      <c r="I16" s="61"/>
      <c r="J16" s="63" t="s">
        <v>35</v>
      </c>
      <c r="K16" s="118" t="s">
        <v>54</v>
      </c>
      <c r="L16" s="59" t="s">
        <v>37</v>
      </c>
      <c r="M16" s="55">
        <v>50000.0</v>
      </c>
      <c r="N16" s="67"/>
      <c r="O16" s="67"/>
      <c r="P16" s="67"/>
      <c r="Q16" s="67"/>
      <c r="R16" s="67"/>
      <c r="S16" s="10"/>
      <c r="U16" s="82"/>
      <c r="V16" s="47"/>
      <c r="W16" s="91"/>
      <c r="X16" s="50"/>
      <c r="Y16" s="70"/>
    </row>
    <row r="17">
      <c r="B17" s="52">
        <v>11.0</v>
      </c>
      <c r="C17" s="74">
        <v>108971.0</v>
      </c>
      <c r="D17" s="55" t="s">
        <v>112</v>
      </c>
      <c r="E17" s="85"/>
      <c r="F17" s="86"/>
      <c r="G17" s="59" t="s">
        <v>113</v>
      </c>
      <c r="H17" s="93"/>
      <c r="I17" s="61"/>
      <c r="J17" s="63"/>
      <c r="K17" s="118"/>
      <c r="L17" s="59" t="s">
        <v>101</v>
      </c>
      <c r="M17" s="145">
        <v>1104000.0</v>
      </c>
      <c r="N17" s="67"/>
      <c r="O17" s="67"/>
      <c r="P17" s="67"/>
      <c r="Q17" s="67"/>
      <c r="R17" s="67"/>
      <c r="S17" s="10"/>
      <c r="U17" s="82"/>
      <c r="V17" s="129"/>
      <c r="W17" s="49"/>
      <c r="X17" s="50"/>
      <c r="Y17" s="70"/>
    </row>
    <row r="18">
      <c r="B18" s="52">
        <v>12.0</v>
      </c>
      <c r="C18" s="74">
        <v>61985.0</v>
      </c>
      <c r="D18" s="55" t="s">
        <v>106</v>
      </c>
      <c r="E18" s="85"/>
      <c r="F18" s="86"/>
      <c r="G18" s="59" t="s">
        <v>122</v>
      </c>
      <c r="H18" s="93"/>
      <c r="I18" s="61"/>
      <c r="J18" s="159"/>
      <c r="K18" s="61"/>
      <c r="L18" s="59" t="s">
        <v>37</v>
      </c>
      <c r="M18" s="55">
        <v>100000.0</v>
      </c>
      <c r="N18" s="67"/>
      <c r="O18" s="67"/>
      <c r="P18" s="67"/>
      <c r="Q18" s="67"/>
      <c r="R18" s="67"/>
      <c r="S18" s="10"/>
      <c r="U18" s="141"/>
      <c r="V18" s="47"/>
      <c r="W18" s="49"/>
      <c r="X18" s="50"/>
      <c r="Y18" s="70"/>
    </row>
    <row r="19">
      <c r="B19" s="52">
        <v>13.0</v>
      </c>
      <c r="C19" s="74">
        <v>173971.0</v>
      </c>
      <c r="D19" s="55" t="s">
        <v>123</v>
      </c>
      <c r="E19" s="85"/>
      <c r="F19" s="86"/>
      <c r="G19" s="59" t="s">
        <v>124</v>
      </c>
      <c r="H19" s="93"/>
      <c r="I19" s="61"/>
      <c r="J19" s="159"/>
      <c r="K19" s="61"/>
      <c r="L19" s="59" t="s">
        <v>125</v>
      </c>
      <c r="M19" s="166">
        <v>226000.0</v>
      </c>
      <c r="N19" s="67"/>
      <c r="O19" s="67"/>
      <c r="P19" s="67"/>
      <c r="Q19" s="67"/>
      <c r="R19" s="67"/>
      <c r="S19" s="10"/>
      <c r="U19" s="82"/>
      <c r="V19" s="47"/>
      <c r="W19" s="49"/>
      <c r="X19" s="50"/>
      <c r="Y19" s="70"/>
    </row>
    <row r="20">
      <c r="B20" s="52">
        <v>14.0</v>
      </c>
      <c r="C20" s="74">
        <v>50000.0</v>
      </c>
      <c r="D20" s="55" t="s">
        <v>126</v>
      </c>
      <c r="E20" s="85"/>
      <c r="F20" s="86"/>
      <c r="G20" s="61"/>
      <c r="H20" s="93"/>
      <c r="I20" s="61"/>
      <c r="J20" s="159"/>
      <c r="K20" s="61"/>
      <c r="L20" s="61"/>
      <c r="M20" s="168"/>
      <c r="N20" s="67"/>
      <c r="O20" s="67"/>
      <c r="P20" s="67"/>
      <c r="Q20" s="67"/>
      <c r="R20" s="67"/>
      <c r="S20" s="10"/>
      <c r="U20" s="82"/>
      <c r="V20" s="47"/>
      <c r="W20" s="49"/>
      <c r="X20" s="50"/>
      <c r="Y20" s="70"/>
    </row>
    <row r="21">
      <c r="B21" s="52">
        <v>15.0</v>
      </c>
      <c r="C21" s="74">
        <v>292000.0</v>
      </c>
      <c r="D21" s="55" t="s">
        <v>127</v>
      </c>
      <c r="E21" s="85"/>
      <c r="F21" s="86"/>
      <c r="G21" s="61"/>
      <c r="H21" s="93"/>
      <c r="I21" s="61"/>
      <c r="J21" s="159"/>
      <c r="K21" s="61"/>
      <c r="L21" s="170"/>
      <c r="M21" s="168"/>
      <c r="N21" s="67"/>
      <c r="O21" s="67"/>
      <c r="P21" s="67"/>
      <c r="Q21" s="67"/>
      <c r="R21" s="67"/>
      <c r="S21" s="10"/>
      <c r="U21" s="82"/>
      <c r="V21" s="47"/>
      <c r="W21" s="49"/>
      <c r="X21" s="50"/>
      <c r="Y21" s="70"/>
    </row>
    <row r="22">
      <c r="B22" s="52">
        <v>16.0</v>
      </c>
      <c r="C22" s="74">
        <v>224000.0</v>
      </c>
      <c r="D22" s="173" t="s">
        <v>128</v>
      </c>
      <c r="E22" s="174"/>
      <c r="F22" s="86"/>
      <c r="G22" s="61"/>
      <c r="H22" s="93"/>
      <c r="I22" s="61"/>
      <c r="J22" s="159"/>
      <c r="K22" s="99"/>
      <c r="L22" s="170"/>
      <c r="M22" s="168"/>
      <c r="N22" s="67"/>
      <c r="O22" s="67"/>
      <c r="P22" s="67"/>
      <c r="Q22" s="67"/>
      <c r="R22" s="67"/>
      <c r="S22" s="10"/>
      <c r="U22" s="45"/>
      <c r="V22" s="69"/>
      <c r="W22" s="175"/>
      <c r="X22" s="50"/>
      <c r="Y22" s="70"/>
    </row>
    <row r="23">
      <c r="B23" s="52">
        <v>17.0</v>
      </c>
      <c r="C23" s="74">
        <v>150000.0</v>
      </c>
      <c r="D23" s="55" t="s">
        <v>129</v>
      </c>
      <c r="E23" s="85"/>
      <c r="F23" s="86"/>
      <c r="G23" s="61"/>
      <c r="H23" s="93"/>
      <c r="I23" s="61"/>
      <c r="J23" s="159"/>
      <c r="K23" s="61"/>
      <c r="L23" s="170"/>
      <c r="M23" s="168"/>
      <c r="N23" s="67"/>
      <c r="O23" s="67"/>
      <c r="P23" s="67"/>
      <c r="Q23" s="67"/>
      <c r="R23" s="67"/>
      <c r="S23" s="10"/>
      <c r="U23" s="141">
        <f t="shared" ref="U23:W23" si="1">SUM(U9:U22)</f>
        <v>0</v>
      </c>
      <c r="V23" s="129">
        <f t="shared" si="1"/>
        <v>0</v>
      </c>
      <c r="W23" s="91">
        <f t="shared" si="1"/>
        <v>0</v>
      </c>
      <c r="X23" s="176">
        <f t="shared" ref="X23:Y23" si="2">SUM(X8:X22)</f>
        <v>0</v>
      </c>
      <c r="Y23" s="84">
        <f t="shared" si="2"/>
        <v>0</v>
      </c>
    </row>
    <row r="24">
      <c r="B24" s="52">
        <v>18.0</v>
      </c>
      <c r="C24" s="74">
        <v>198328.0</v>
      </c>
      <c r="D24" s="55" t="s">
        <v>131</v>
      </c>
      <c r="E24" s="85"/>
      <c r="F24" s="86"/>
      <c r="G24" s="61"/>
      <c r="H24" s="93"/>
      <c r="I24" s="61"/>
      <c r="J24" s="159"/>
      <c r="K24" s="61"/>
      <c r="L24" s="170"/>
      <c r="M24" s="168"/>
      <c r="N24" s="67"/>
      <c r="O24" s="67"/>
      <c r="P24" s="67"/>
      <c r="Q24" s="67"/>
      <c r="R24" s="67"/>
      <c r="S24" s="10"/>
    </row>
    <row r="25">
      <c r="B25" s="52">
        <v>19.0</v>
      </c>
      <c r="C25" s="74">
        <v>251830.0</v>
      </c>
      <c r="D25" s="55" t="s">
        <v>133</v>
      </c>
      <c r="E25" s="85"/>
      <c r="F25" s="86"/>
      <c r="G25" s="61"/>
      <c r="H25" s="93"/>
      <c r="I25" s="61"/>
      <c r="J25" s="186"/>
      <c r="K25" s="61"/>
      <c r="L25" s="170"/>
      <c r="M25" s="168"/>
      <c r="N25" s="67"/>
      <c r="O25" s="67"/>
      <c r="P25" s="67"/>
      <c r="Q25" s="67"/>
      <c r="R25" s="67"/>
      <c r="S25" s="10"/>
    </row>
    <row r="26">
      <c r="B26" s="52">
        <v>20.0</v>
      </c>
      <c r="C26" s="74">
        <v>50000.0</v>
      </c>
      <c r="D26" s="55" t="s">
        <v>134</v>
      </c>
      <c r="E26" s="85"/>
      <c r="F26" s="86"/>
      <c r="G26" s="61"/>
      <c r="H26" s="93"/>
      <c r="I26" s="61"/>
      <c r="J26" s="159"/>
      <c r="K26" s="99"/>
      <c r="L26" s="170"/>
      <c r="M26" s="196"/>
      <c r="N26" s="67"/>
      <c r="O26" s="67"/>
      <c r="P26" s="67"/>
      <c r="Q26" s="67"/>
      <c r="R26" s="67"/>
      <c r="S26" s="10"/>
    </row>
    <row r="27">
      <c r="B27" s="52">
        <v>21.0</v>
      </c>
      <c r="C27" s="74">
        <v>50000.0</v>
      </c>
      <c r="D27" s="55" t="s">
        <v>135</v>
      </c>
      <c r="E27" s="76"/>
      <c r="F27" s="77" t="s">
        <v>136</v>
      </c>
      <c r="G27" s="61"/>
      <c r="H27" s="93"/>
      <c r="I27" s="61"/>
      <c r="J27" s="61"/>
      <c r="K27" s="205"/>
      <c r="L27" s="207"/>
      <c r="M27" s="168"/>
      <c r="N27" s="208"/>
      <c r="O27" s="67"/>
      <c r="P27" s="67"/>
      <c r="Q27" s="67"/>
      <c r="R27" s="67"/>
      <c r="S27" s="10"/>
    </row>
    <row r="28">
      <c r="B28" s="52">
        <v>22.0</v>
      </c>
      <c r="C28" s="74">
        <v>206799.0</v>
      </c>
      <c r="D28" s="55" t="s">
        <v>137</v>
      </c>
      <c r="E28" s="85"/>
      <c r="F28" s="86"/>
      <c r="G28" s="61"/>
      <c r="H28" s="93"/>
      <c r="I28" s="61"/>
      <c r="J28" s="159"/>
      <c r="K28" s="61"/>
      <c r="L28" s="61"/>
      <c r="M28" s="216"/>
      <c r="N28" s="67"/>
      <c r="O28" s="67"/>
      <c r="P28" s="67"/>
      <c r="Q28" s="67"/>
      <c r="R28" s="67"/>
      <c r="S28" s="10"/>
    </row>
    <row r="29">
      <c r="B29" s="52">
        <v>23.0</v>
      </c>
      <c r="C29" s="74">
        <v>250000.0</v>
      </c>
      <c r="D29" s="55" t="s">
        <v>138</v>
      </c>
      <c r="E29" s="76"/>
      <c r="F29" s="77"/>
      <c r="G29" s="61"/>
      <c r="H29" s="93"/>
      <c r="I29" s="61"/>
      <c r="J29" s="159"/>
      <c r="K29" s="61"/>
      <c r="L29" s="61"/>
      <c r="M29" s="168"/>
      <c r="N29" s="67"/>
      <c r="O29" s="67"/>
      <c r="P29" s="67"/>
      <c r="Q29" s="67"/>
      <c r="R29" s="67"/>
      <c r="S29" s="10"/>
    </row>
    <row r="30">
      <c r="B30" s="52">
        <v>24.0</v>
      </c>
      <c r="C30" s="74">
        <v>10000.0</v>
      </c>
      <c r="D30" s="219" t="s">
        <v>139</v>
      </c>
      <c r="E30" s="220"/>
      <c r="F30" s="221"/>
      <c r="G30" s="61"/>
      <c r="H30" s="93"/>
      <c r="I30" s="61"/>
      <c r="J30" s="159"/>
      <c r="K30" s="61"/>
      <c r="L30" s="61"/>
      <c r="M30" s="168"/>
      <c r="N30" s="67"/>
      <c r="O30" s="67"/>
      <c r="P30" s="67"/>
      <c r="Q30" s="67"/>
      <c r="R30" s="67"/>
      <c r="S30" s="10"/>
    </row>
    <row r="31">
      <c r="B31" s="52">
        <v>25.0</v>
      </c>
      <c r="C31" s="74">
        <v>300200.0</v>
      </c>
      <c r="D31" s="223" t="s">
        <v>140</v>
      </c>
      <c r="E31" s="220"/>
      <c r="F31" s="221"/>
      <c r="G31" s="61"/>
      <c r="H31" s="93"/>
      <c r="I31" s="61"/>
      <c r="J31" s="159"/>
      <c r="K31" s="61"/>
      <c r="L31" s="61"/>
      <c r="M31" s="168"/>
      <c r="N31" s="67"/>
      <c r="O31" s="67"/>
      <c r="P31" s="67"/>
      <c r="Q31" s="67"/>
      <c r="R31" s="67"/>
      <c r="S31" s="10"/>
    </row>
    <row r="32">
      <c r="B32" s="52">
        <v>26.0</v>
      </c>
      <c r="C32" s="74">
        <v>100000.0</v>
      </c>
      <c r="D32" s="225" t="s">
        <v>141</v>
      </c>
      <c r="E32" s="220"/>
      <c r="F32" s="221"/>
      <c r="G32" s="61"/>
      <c r="H32" s="93"/>
      <c r="I32" s="61"/>
      <c r="J32" s="159"/>
      <c r="K32" s="61"/>
      <c r="L32" s="61"/>
      <c r="M32" s="168"/>
      <c r="N32" s="67"/>
      <c r="O32" s="67"/>
      <c r="P32" s="67"/>
      <c r="Q32" s="67"/>
      <c r="R32" s="67"/>
      <c r="S32" s="10"/>
    </row>
    <row r="33">
      <c r="B33" s="52">
        <v>27.0</v>
      </c>
      <c r="C33" s="74">
        <v>1343988.0</v>
      </c>
      <c r="D33" s="223" t="s">
        <v>142</v>
      </c>
      <c r="E33" s="220"/>
      <c r="F33" s="221"/>
      <c r="G33" s="61"/>
      <c r="H33" s="93"/>
      <c r="I33" s="61"/>
      <c r="J33" s="159"/>
      <c r="K33" s="61"/>
      <c r="L33" s="61"/>
      <c r="M33" s="168"/>
      <c r="N33" s="67"/>
      <c r="O33" s="67"/>
      <c r="P33" s="67"/>
      <c r="Q33" s="67"/>
      <c r="R33" s="67"/>
      <c r="S33" s="10"/>
    </row>
    <row r="34">
      <c r="B34" s="52">
        <v>28.0</v>
      </c>
      <c r="C34" s="228">
        <v>64343.0</v>
      </c>
      <c r="D34" s="230" t="s">
        <v>143</v>
      </c>
      <c r="E34" s="220"/>
      <c r="F34" s="221"/>
      <c r="G34" s="61"/>
      <c r="H34" s="93"/>
      <c r="I34" s="61"/>
      <c r="J34" s="159"/>
      <c r="K34" s="61"/>
      <c r="L34" s="61"/>
      <c r="M34" s="231"/>
      <c r="N34" s="67"/>
      <c r="O34" s="67"/>
      <c r="P34" s="67"/>
      <c r="Q34" s="67"/>
      <c r="R34" s="67"/>
      <c r="S34" s="10"/>
    </row>
    <row r="35">
      <c r="B35" s="52">
        <v>29.0</v>
      </c>
      <c r="C35" s="228">
        <v>1104000.0</v>
      </c>
      <c r="D35" s="234" t="s">
        <v>142</v>
      </c>
      <c r="E35" s="220"/>
      <c r="F35" s="221"/>
      <c r="G35" s="61"/>
      <c r="H35" s="93"/>
      <c r="I35" s="61"/>
      <c r="J35" s="159"/>
      <c r="K35" s="61"/>
      <c r="L35" s="61"/>
      <c r="M35" s="231"/>
      <c r="N35" s="67"/>
      <c r="O35" s="67"/>
      <c r="P35" s="67"/>
      <c r="Q35" s="67"/>
      <c r="R35" s="67"/>
      <c r="S35" s="10"/>
    </row>
    <row r="36">
      <c r="B36" s="52">
        <v>30.0</v>
      </c>
      <c r="C36" s="228">
        <v>100000.0</v>
      </c>
      <c r="D36" s="230" t="s">
        <v>145</v>
      </c>
      <c r="E36" s="220"/>
      <c r="F36" s="221"/>
      <c r="G36" s="61"/>
      <c r="H36" s="93"/>
      <c r="I36" s="61"/>
      <c r="J36" s="159"/>
      <c r="K36" s="61"/>
      <c r="L36" s="61"/>
      <c r="M36" s="231"/>
      <c r="N36" s="67"/>
      <c r="O36" s="67"/>
      <c r="P36" s="67"/>
      <c r="Q36" s="67"/>
      <c r="R36" s="67"/>
      <c r="S36" s="10"/>
    </row>
    <row r="37">
      <c r="B37" s="52">
        <v>31.0</v>
      </c>
      <c r="C37" s="228">
        <v>226000.0</v>
      </c>
      <c r="D37" s="235" t="s">
        <v>146</v>
      </c>
      <c r="E37" s="220"/>
      <c r="F37" s="221"/>
      <c r="G37" s="61"/>
      <c r="H37" s="93"/>
      <c r="I37" s="61"/>
      <c r="J37" s="159"/>
      <c r="K37" s="61"/>
      <c r="L37" s="61"/>
      <c r="M37" s="231"/>
      <c r="N37" s="67"/>
      <c r="O37" s="67"/>
      <c r="P37" s="67"/>
      <c r="Q37" s="67"/>
      <c r="R37" s="67"/>
      <c r="S37" s="10"/>
    </row>
    <row r="38">
      <c r="B38" s="52">
        <v>32.0</v>
      </c>
      <c r="C38" s="237"/>
      <c r="D38" s="238"/>
      <c r="E38" s="220"/>
      <c r="F38" s="221"/>
      <c r="G38" s="61"/>
      <c r="H38" s="93"/>
      <c r="I38" s="61"/>
      <c r="J38" s="159"/>
      <c r="K38" s="61"/>
      <c r="L38" s="61"/>
      <c r="M38" s="231"/>
      <c r="N38" s="67"/>
      <c r="O38" s="67"/>
      <c r="P38" s="67"/>
      <c r="Q38" s="67"/>
      <c r="R38" s="67"/>
      <c r="S38" s="10"/>
    </row>
    <row r="39">
      <c r="B39" s="52">
        <v>33.0</v>
      </c>
      <c r="C39" s="237"/>
      <c r="D39" s="238"/>
      <c r="E39" s="220"/>
      <c r="F39" s="221"/>
      <c r="G39" s="61"/>
      <c r="H39" s="93"/>
      <c r="I39" s="61"/>
      <c r="J39" s="159"/>
      <c r="K39" s="61"/>
      <c r="L39" s="61"/>
      <c r="M39" s="231"/>
      <c r="N39" s="67"/>
      <c r="O39" s="67"/>
      <c r="P39" s="67"/>
      <c r="Q39" s="67"/>
      <c r="R39" s="67"/>
      <c r="S39" s="10"/>
    </row>
    <row r="40">
      <c r="B40" s="52">
        <v>34.0</v>
      </c>
      <c r="C40" s="237"/>
      <c r="D40" s="238"/>
      <c r="E40" s="220"/>
      <c r="F40" s="221"/>
      <c r="G40" s="61"/>
      <c r="H40" s="93"/>
      <c r="I40" s="61"/>
      <c r="J40" s="159"/>
      <c r="K40" s="61"/>
      <c r="L40" s="61"/>
      <c r="M40" s="231"/>
      <c r="N40" s="67"/>
      <c r="O40" s="67"/>
      <c r="P40" s="67"/>
      <c r="Q40" s="67"/>
      <c r="R40" s="67"/>
      <c r="S40" s="10"/>
    </row>
    <row r="41">
      <c r="B41" s="52">
        <v>35.0</v>
      </c>
      <c r="C41" s="237"/>
      <c r="D41" s="238"/>
      <c r="E41" s="220"/>
      <c r="F41" s="221"/>
      <c r="G41" s="61"/>
      <c r="H41" s="93"/>
      <c r="I41" s="61"/>
      <c r="J41" s="159"/>
      <c r="K41" s="61"/>
      <c r="L41" s="61"/>
      <c r="M41" s="231"/>
      <c r="N41" s="67"/>
      <c r="O41" s="67"/>
      <c r="P41" s="67"/>
      <c r="Q41" s="67"/>
      <c r="R41" s="67"/>
      <c r="S41" s="10"/>
    </row>
    <row r="42">
      <c r="B42" s="52">
        <v>36.0</v>
      </c>
      <c r="C42" s="237"/>
      <c r="D42" s="238"/>
      <c r="E42" s="220"/>
      <c r="F42" s="221"/>
      <c r="G42" s="61"/>
      <c r="H42" s="93"/>
      <c r="I42" s="61"/>
      <c r="J42" s="159"/>
      <c r="K42" s="61"/>
      <c r="L42" s="61"/>
      <c r="M42" s="231"/>
      <c r="N42" s="67"/>
      <c r="O42" s="67"/>
      <c r="P42" s="67"/>
      <c r="Q42" s="67"/>
      <c r="R42" s="67"/>
      <c r="S42" s="10"/>
    </row>
    <row r="43">
      <c r="B43" s="52">
        <v>37.0</v>
      </c>
      <c r="C43" s="237"/>
      <c r="D43" s="238"/>
      <c r="E43" s="220"/>
      <c r="F43" s="221"/>
      <c r="G43" s="61"/>
      <c r="H43" s="93"/>
      <c r="I43" s="61"/>
      <c r="J43" s="159"/>
      <c r="K43" s="61"/>
      <c r="L43" s="61"/>
      <c r="M43" s="231"/>
      <c r="N43" s="67"/>
      <c r="O43" s="67"/>
      <c r="P43" s="67"/>
      <c r="Q43" s="67"/>
      <c r="R43" s="67"/>
      <c r="S43" s="10"/>
    </row>
    <row r="44">
      <c r="B44" s="52">
        <v>38.0</v>
      </c>
      <c r="C44" s="237"/>
      <c r="D44" s="238"/>
      <c r="E44" s="220"/>
      <c r="F44" s="221"/>
      <c r="G44" s="61"/>
      <c r="H44" s="93"/>
      <c r="I44" s="61"/>
      <c r="J44" s="159"/>
      <c r="K44" s="61"/>
      <c r="L44" s="61"/>
      <c r="M44" s="231"/>
      <c r="N44" s="67"/>
      <c r="O44" s="67"/>
      <c r="P44" s="67"/>
      <c r="Q44" s="67"/>
      <c r="R44" s="67"/>
      <c r="S44" s="10"/>
    </row>
    <row r="45">
      <c r="B45" s="52">
        <v>39.0</v>
      </c>
      <c r="C45" s="237"/>
      <c r="D45" s="238"/>
      <c r="E45" s="220"/>
      <c r="F45" s="221"/>
      <c r="G45" s="61"/>
      <c r="H45" s="93"/>
      <c r="I45" s="61"/>
      <c r="J45" s="159"/>
      <c r="K45" s="61"/>
      <c r="L45" s="61"/>
      <c r="M45" s="231"/>
      <c r="N45" s="67"/>
      <c r="O45" s="67"/>
      <c r="P45" s="67"/>
      <c r="Q45" s="67"/>
      <c r="R45" s="67"/>
      <c r="S45" s="10"/>
    </row>
    <row r="46">
      <c r="B46" s="52">
        <v>40.0</v>
      </c>
      <c r="C46" s="237"/>
      <c r="D46" s="238"/>
      <c r="E46" s="220"/>
      <c r="F46" s="221"/>
      <c r="G46" s="61"/>
      <c r="H46" s="93"/>
      <c r="I46" s="61"/>
      <c r="J46" s="159"/>
      <c r="K46" s="61"/>
      <c r="L46" s="61"/>
      <c r="M46" s="231"/>
      <c r="N46" s="67"/>
      <c r="O46" s="67"/>
      <c r="P46" s="67"/>
      <c r="Q46" s="67"/>
      <c r="R46" s="67"/>
      <c r="S46" s="10"/>
    </row>
    <row r="47">
      <c r="B47" s="52">
        <v>41.0</v>
      </c>
      <c r="C47" s="237"/>
      <c r="D47" s="238"/>
      <c r="E47" s="220"/>
      <c r="F47" s="221"/>
      <c r="G47" s="61"/>
      <c r="H47" s="93"/>
      <c r="I47" s="61"/>
      <c r="J47" s="159"/>
      <c r="K47" s="61"/>
      <c r="L47" s="61"/>
      <c r="M47" s="231"/>
      <c r="N47" s="67"/>
      <c r="O47" s="67"/>
      <c r="P47" s="67"/>
      <c r="Q47" s="67"/>
      <c r="R47" s="67"/>
      <c r="S47" s="10"/>
    </row>
    <row r="48">
      <c r="B48" s="52">
        <v>42.0</v>
      </c>
      <c r="C48" s="237"/>
      <c r="D48" s="238"/>
      <c r="E48" s="220"/>
      <c r="F48" s="221"/>
      <c r="G48" s="61"/>
      <c r="H48" s="93"/>
      <c r="I48" s="61"/>
      <c r="J48" s="159"/>
      <c r="K48" s="61"/>
      <c r="L48" s="61"/>
      <c r="M48" s="231"/>
      <c r="N48" s="67"/>
      <c r="O48" s="67"/>
      <c r="P48" s="67"/>
      <c r="Q48" s="67"/>
      <c r="R48" s="67"/>
      <c r="S48" s="10"/>
    </row>
    <row r="49">
      <c r="B49" s="52">
        <v>43.0</v>
      </c>
      <c r="C49" s="237"/>
      <c r="D49" s="238"/>
      <c r="E49" s="220"/>
      <c r="F49" s="221"/>
      <c r="G49" s="61"/>
      <c r="H49" s="93"/>
      <c r="I49" s="61"/>
      <c r="J49" s="159"/>
      <c r="K49" s="61"/>
      <c r="L49" s="61"/>
      <c r="M49" s="231"/>
      <c r="N49" s="67"/>
      <c r="O49" s="67"/>
      <c r="P49" s="67"/>
      <c r="Q49" s="67"/>
      <c r="R49" s="67"/>
      <c r="S49" s="10"/>
    </row>
    <row r="50">
      <c r="B50" s="52">
        <v>44.0</v>
      </c>
      <c r="C50" s="237"/>
      <c r="D50" s="238"/>
      <c r="E50" s="220"/>
      <c r="F50" s="221"/>
      <c r="G50" s="61"/>
      <c r="H50" s="93"/>
      <c r="I50" s="61"/>
      <c r="J50" s="159"/>
      <c r="K50" s="61"/>
      <c r="L50" s="61"/>
      <c r="M50" s="231"/>
      <c r="N50" s="67"/>
      <c r="O50" s="67"/>
      <c r="P50" s="67"/>
      <c r="Q50" s="67"/>
      <c r="R50" s="67"/>
      <c r="S50" s="10"/>
    </row>
    <row r="51">
      <c r="B51" s="52">
        <v>45.0</v>
      </c>
      <c r="C51" s="237"/>
      <c r="D51" s="238"/>
      <c r="E51" s="220"/>
      <c r="F51" s="221"/>
      <c r="G51" s="61"/>
      <c r="H51" s="93"/>
      <c r="I51" s="61"/>
      <c r="J51" s="159"/>
      <c r="K51" s="61"/>
      <c r="L51" s="61"/>
      <c r="M51" s="231"/>
      <c r="N51" s="67"/>
      <c r="O51" s="67"/>
      <c r="P51" s="67"/>
      <c r="Q51" s="67"/>
      <c r="R51" s="67"/>
      <c r="S51" s="10"/>
    </row>
    <row r="52">
      <c r="B52" s="52">
        <v>46.0</v>
      </c>
      <c r="C52" s="237"/>
      <c r="D52" s="238"/>
      <c r="E52" s="220"/>
      <c r="F52" s="221"/>
      <c r="G52" s="61"/>
      <c r="H52" s="93"/>
      <c r="I52" s="61"/>
      <c r="J52" s="159"/>
      <c r="K52" s="61"/>
      <c r="L52" s="61"/>
      <c r="M52" s="231"/>
      <c r="N52" s="67"/>
      <c r="O52" s="67"/>
      <c r="P52" s="67"/>
      <c r="Q52" s="67"/>
      <c r="R52" s="67"/>
      <c r="S52" s="10"/>
    </row>
    <row r="53">
      <c r="B53" s="52">
        <v>47.0</v>
      </c>
      <c r="C53" s="237"/>
      <c r="D53" s="238"/>
      <c r="E53" s="220"/>
      <c r="F53" s="221"/>
      <c r="G53" s="61"/>
      <c r="H53" s="93"/>
      <c r="I53" s="61"/>
      <c r="J53" s="159"/>
      <c r="K53" s="61"/>
      <c r="L53" s="61"/>
      <c r="M53" s="231"/>
      <c r="N53" s="67"/>
      <c r="O53" s="67"/>
      <c r="P53" s="67"/>
      <c r="Q53" s="67"/>
      <c r="R53" s="67"/>
      <c r="S53" s="10"/>
    </row>
    <row r="54">
      <c r="B54" s="52">
        <v>48.0</v>
      </c>
      <c r="C54" s="241">
        <f>SUM(C7:C53)</f>
        <v>5885385</v>
      </c>
      <c r="D54" s="238"/>
      <c r="E54" s="220">
        <f>SUM(E7:E33)</f>
        <v>2330000</v>
      </c>
      <c r="F54" s="221"/>
      <c r="G54" s="61"/>
      <c r="H54" s="93"/>
      <c r="I54" s="61"/>
      <c r="J54" s="159"/>
      <c r="K54" s="61"/>
      <c r="L54" s="61"/>
      <c r="M54" s="242">
        <f>SUM(M7:M33)</f>
        <v>5885385</v>
      </c>
      <c r="N54" s="67"/>
      <c r="O54" s="67"/>
      <c r="P54" s="67"/>
      <c r="Q54" s="67"/>
      <c r="R54" s="67"/>
      <c r="S54" s="243">
        <f>SUM(S7:S33)</f>
        <v>5696000</v>
      </c>
    </row>
    <row r="55">
      <c r="C55" s="2"/>
      <c r="D55" s="6"/>
      <c r="E55" s="4"/>
      <c r="J55" s="6"/>
      <c r="M55" s="8"/>
      <c r="S55" s="4"/>
    </row>
    <row r="56">
      <c r="C56" s="2"/>
      <c r="D56" s="6"/>
      <c r="E56" s="4"/>
      <c r="J56" s="6"/>
      <c r="M56" s="8"/>
      <c r="S56" s="4"/>
    </row>
    <row r="57">
      <c r="C57" s="2"/>
      <c r="E57" s="4"/>
      <c r="I57" s="244"/>
      <c r="J57" s="6"/>
      <c r="M57" s="8"/>
      <c r="S57" s="4"/>
    </row>
    <row r="58">
      <c r="C58" s="2"/>
      <c r="D58" s="245"/>
      <c r="I58" s="244"/>
      <c r="J58" s="6"/>
      <c r="M58" s="8"/>
      <c r="S58" s="4"/>
    </row>
    <row r="59">
      <c r="C59" s="2"/>
      <c r="D59" s="6"/>
      <c r="E59" s="4"/>
      <c r="J59" s="6"/>
      <c r="M59" s="8"/>
      <c r="S59" s="4"/>
    </row>
    <row r="60">
      <c r="C60" s="2"/>
      <c r="D60" s="6"/>
      <c r="E60" s="4"/>
      <c r="J60" s="6"/>
      <c r="M60" s="8"/>
      <c r="S60" s="4"/>
    </row>
    <row r="61">
      <c r="C61" s="2"/>
      <c r="D61" s="6"/>
      <c r="E61" s="4"/>
      <c r="J61" s="6"/>
      <c r="M61" s="8"/>
      <c r="S61" s="4"/>
    </row>
    <row r="62">
      <c r="C62" s="2"/>
      <c r="D62" s="6"/>
      <c r="E62" s="4"/>
      <c r="J62" s="6"/>
      <c r="M62" s="8"/>
      <c r="S62" s="4"/>
    </row>
    <row r="63">
      <c r="C63" s="2"/>
      <c r="D63" s="6"/>
      <c r="E63" s="4"/>
      <c r="J63" s="6"/>
      <c r="M63" s="8"/>
      <c r="S63" s="4"/>
    </row>
    <row r="64">
      <c r="C64" s="2"/>
      <c r="D64" s="6"/>
      <c r="E64" s="4"/>
      <c r="J64" s="6"/>
      <c r="M64" s="8"/>
      <c r="S64" s="4"/>
    </row>
    <row r="65">
      <c r="C65" s="2"/>
      <c r="D65" s="6"/>
      <c r="E65" s="4"/>
      <c r="J65" s="6"/>
      <c r="M65" s="8"/>
      <c r="S65" s="4"/>
    </row>
    <row r="66">
      <c r="C66" s="2"/>
      <c r="D66" s="6"/>
      <c r="E66" s="4"/>
      <c r="J66" s="6"/>
      <c r="M66" s="8"/>
      <c r="S66" s="4"/>
    </row>
    <row r="67">
      <c r="C67" s="2"/>
      <c r="D67" s="6"/>
      <c r="E67" s="4"/>
      <c r="J67" s="6"/>
      <c r="M67" s="8"/>
      <c r="S67" s="4"/>
    </row>
    <row r="68">
      <c r="C68" s="2"/>
      <c r="D68" s="6"/>
      <c r="E68" s="4"/>
      <c r="J68" s="6"/>
      <c r="M68" s="8"/>
      <c r="S68" s="4"/>
    </row>
    <row r="69">
      <c r="C69" s="2"/>
      <c r="D69" s="6"/>
      <c r="E69" s="4"/>
      <c r="J69" s="6"/>
      <c r="M69" s="8"/>
      <c r="S69" s="4"/>
    </row>
    <row r="70">
      <c r="C70" s="2"/>
      <c r="D70" s="6"/>
      <c r="E70" s="4"/>
      <c r="J70" s="6"/>
      <c r="M70" s="8"/>
      <c r="S70" s="4"/>
    </row>
    <row r="71">
      <c r="C71" s="2"/>
      <c r="D71" s="6"/>
      <c r="E71" s="4"/>
      <c r="J71" s="6"/>
      <c r="M71" s="8"/>
      <c r="S71" s="4"/>
    </row>
    <row r="72">
      <c r="C72" s="2"/>
      <c r="D72" s="6"/>
      <c r="E72" s="4"/>
      <c r="J72" s="6"/>
      <c r="M72" s="8"/>
      <c r="S72" s="4"/>
    </row>
    <row r="73">
      <c r="C73" s="2"/>
      <c r="D73" s="6"/>
      <c r="E73" s="4"/>
      <c r="J73" s="6"/>
      <c r="M73" s="8"/>
      <c r="S73" s="4"/>
    </row>
    <row r="74">
      <c r="C74" s="2"/>
      <c r="D74" s="6"/>
      <c r="E74" s="4"/>
      <c r="J74" s="6"/>
      <c r="M74" s="8"/>
      <c r="S74" s="4"/>
    </row>
    <row r="75">
      <c r="C75" s="2"/>
      <c r="D75" s="6"/>
      <c r="E75" s="4"/>
      <c r="J75" s="6"/>
      <c r="M75" s="8"/>
      <c r="S75" s="4"/>
    </row>
    <row r="76">
      <c r="C76" s="2"/>
      <c r="D76" s="6"/>
      <c r="E76" s="4"/>
      <c r="J76" s="6"/>
      <c r="M76" s="8"/>
      <c r="S76" s="4"/>
    </row>
    <row r="77">
      <c r="C77" s="2"/>
      <c r="D77" s="6"/>
      <c r="E77" s="4"/>
      <c r="J77" s="6"/>
      <c r="M77" s="8"/>
      <c r="S77" s="4"/>
    </row>
    <row r="78">
      <c r="C78" s="2"/>
      <c r="D78" s="6"/>
      <c r="E78" s="4"/>
      <c r="J78" s="6"/>
      <c r="M78" s="8"/>
      <c r="S78" s="4"/>
    </row>
    <row r="79">
      <c r="C79" s="2"/>
      <c r="D79" s="6"/>
      <c r="E79" s="4"/>
      <c r="J79" s="6"/>
      <c r="M79" s="8"/>
      <c r="S79" s="4"/>
    </row>
    <row r="80">
      <c r="C80" s="2"/>
      <c r="D80" s="6"/>
      <c r="E80" s="4"/>
      <c r="J80" s="6"/>
      <c r="M80" s="8"/>
      <c r="S80" s="4"/>
    </row>
    <row r="81">
      <c r="C81" s="2"/>
      <c r="D81" s="6"/>
      <c r="E81" s="4"/>
      <c r="J81" s="6"/>
      <c r="M81" s="8"/>
      <c r="S81" s="4"/>
    </row>
    <row r="82">
      <c r="C82" s="2"/>
      <c r="D82" s="6"/>
      <c r="E82" s="4"/>
      <c r="J82" s="6"/>
      <c r="M82" s="8"/>
      <c r="S82" s="4"/>
    </row>
    <row r="83">
      <c r="C83" s="2"/>
      <c r="D83" s="6"/>
      <c r="E83" s="4"/>
      <c r="J83" s="6"/>
      <c r="M83" s="8"/>
      <c r="S83" s="4"/>
    </row>
    <row r="84">
      <c r="C84" s="2"/>
      <c r="D84" s="6"/>
      <c r="E84" s="4"/>
      <c r="J84" s="6"/>
      <c r="M84" s="8"/>
      <c r="S84" s="4"/>
    </row>
    <row r="85">
      <c r="C85" s="2"/>
      <c r="D85" s="6"/>
      <c r="E85" s="4"/>
      <c r="J85" s="6"/>
      <c r="M85" s="8"/>
      <c r="S85" s="4"/>
    </row>
    <row r="86">
      <c r="C86" s="2"/>
      <c r="D86" s="6"/>
      <c r="E86" s="4"/>
      <c r="J86" s="6"/>
      <c r="M86" s="8"/>
      <c r="S86" s="4"/>
    </row>
    <row r="87">
      <c r="C87" s="2"/>
      <c r="D87" s="6"/>
      <c r="E87" s="4"/>
      <c r="J87" s="6"/>
      <c r="M87" s="8"/>
      <c r="S87" s="4"/>
    </row>
    <row r="88">
      <c r="C88" s="2"/>
      <c r="D88" s="6"/>
      <c r="E88" s="4"/>
      <c r="J88" s="6"/>
      <c r="M88" s="8"/>
      <c r="S88" s="4"/>
    </row>
    <row r="89">
      <c r="C89" s="2"/>
      <c r="D89" s="6"/>
      <c r="E89" s="4"/>
      <c r="J89" s="6"/>
      <c r="M89" s="8"/>
      <c r="S89" s="4"/>
    </row>
    <row r="90">
      <c r="C90" s="2"/>
      <c r="D90" s="6"/>
      <c r="E90" s="4"/>
      <c r="J90" s="6"/>
      <c r="M90" s="8"/>
      <c r="S90" s="4"/>
    </row>
    <row r="91">
      <c r="C91" s="2"/>
      <c r="D91" s="6"/>
      <c r="E91" s="4"/>
      <c r="J91" s="6"/>
      <c r="M91" s="8"/>
      <c r="S91" s="4"/>
    </row>
    <row r="92">
      <c r="C92" s="2"/>
      <c r="D92" s="6"/>
      <c r="E92" s="4"/>
      <c r="J92" s="6"/>
      <c r="M92" s="8"/>
      <c r="S92" s="4"/>
    </row>
    <row r="93">
      <c r="C93" s="2"/>
      <c r="D93" s="6"/>
      <c r="E93" s="4"/>
      <c r="J93" s="6"/>
      <c r="M93" s="8"/>
      <c r="S93" s="4"/>
    </row>
    <row r="94">
      <c r="C94" s="2"/>
      <c r="D94" s="6"/>
      <c r="E94" s="4"/>
      <c r="J94" s="6"/>
      <c r="M94" s="8"/>
      <c r="S94" s="4"/>
    </row>
    <row r="95">
      <c r="C95" s="2"/>
      <c r="D95" s="6"/>
      <c r="E95" s="4"/>
      <c r="J95" s="6"/>
      <c r="M95" s="8"/>
      <c r="S95" s="4"/>
    </row>
    <row r="96">
      <c r="C96" s="2"/>
      <c r="D96" s="6"/>
      <c r="E96" s="4"/>
      <c r="J96" s="6"/>
      <c r="M96" s="8"/>
      <c r="S96" s="4"/>
    </row>
    <row r="97">
      <c r="C97" s="2"/>
      <c r="D97" s="6"/>
      <c r="E97" s="4"/>
      <c r="J97" s="6"/>
      <c r="M97" s="8"/>
      <c r="S97" s="4"/>
    </row>
    <row r="98">
      <c r="C98" s="2"/>
      <c r="D98" s="6"/>
      <c r="E98" s="4"/>
      <c r="J98" s="6"/>
      <c r="M98" s="8"/>
      <c r="S98" s="4"/>
    </row>
    <row r="99">
      <c r="C99" s="2"/>
      <c r="D99" s="6"/>
      <c r="E99" s="4"/>
      <c r="J99" s="6"/>
      <c r="M99" s="8"/>
      <c r="S99" s="4"/>
    </row>
    <row r="100">
      <c r="C100" s="2"/>
      <c r="D100" s="6"/>
      <c r="E100" s="4"/>
      <c r="J100" s="6"/>
      <c r="M100" s="8"/>
      <c r="S100" s="4"/>
    </row>
    <row r="101">
      <c r="C101" s="2"/>
      <c r="D101" s="6"/>
      <c r="E101" s="4"/>
      <c r="J101" s="6"/>
      <c r="M101" s="8"/>
      <c r="S101" s="4"/>
    </row>
    <row r="102">
      <c r="C102" s="2"/>
      <c r="D102" s="6"/>
      <c r="E102" s="4"/>
      <c r="J102" s="6"/>
      <c r="M102" s="8"/>
      <c r="S102" s="4"/>
    </row>
    <row r="103">
      <c r="C103" s="2"/>
      <c r="D103" s="6"/>
      <c r="E103" s="4"/>
      <c r="J103" s="6"/>
      <c r="M103" s="8"/>
      <c r="S103" s="4"/>
    </row>
    <row r="104">
      <c r="C104" s="2"/>
      <c r="D104" s="6"/>
      <c r="E104" s="4"/>
      <c r="J104" s="6"/>
      <c r="M104" s="8"/>
      <c r="S104" s="4"/>
    </row>
    <row r="105">
      <c r="C105" s="2"/>
      <c r="D105" s="6"/>
      <c r="E105" s="4"/>
      <c r="J105" s="6"/>
      <c r="M105" s="8"/>
      <c r="S105" s="4"/>
    </row>
    <row r="106">
      <c r="C106" s="2"/>
      <c r="D106" s="6"/>
      <c r="E106" s="4"/>
      <c r="J106" s="6"/>
      <c r="M106" s="8"/>
      <c r="S106" s="4"/>
    </row>
    <row r="107">
      <c r="C107" s="2"/>
      <c r="D107" s="6"/>
      <c r="E107" s="4"/>
      <c r="J107" s="6"/>
      <c r="M107" s="8"/>
      <c r="S107" s="4"/>
    </row>
    <row r="108">
      <c r="C108" s="2"/>
      <c r="D108" s="6"/>
      <c r="E108" s="4"/>
      <c r="J108" s="6"/>
      <c r="M108" s="8"/>
      <c r="S108" s="4"/>
    </row>
    <row r="109">
      <c r="C109" s="2"/>
      <c r="D109" s="6"/>
      <c r="E109" s="4"/>
      <c r="J109" s="6"/>
      <c r="M109" s="8"/>
      <c r="S109" s="4"/>
    </row>
    <row r="110">
      <c r="C110" s="2"/>
      <c r="D110" s="6"/>
      <c r="E110" s="4"/>
      <c r="J110" s="6"/>
      <c r="M110" s="8"/>
      <c r="S110" s="4"/>
    </row>
    <row r="111">
      <c r="C111" s="2"/>
      <c r="D111" s="6"/>
      <c r="E111" s="4"/>
      <c r="J111" s="6"/>
      <c r="M111" s="8"/>
      <c r="S111" s="4"/>
    </row>
    <row r="112">
      <c r="C112" s="2"/>
      <c r="D112" s="6"/>
      <c r="E112" s="4"/>
      <c r="J112" s="6"/>
      <c r="M112" s="8"/>
      <c r="S112" s="4"/>
    </row>
    <row r="113">
      <c r="C113" s="2"/>
      <c r="D113" s="6"/>
      <c r="E113" s="4"/>
      <c r="J113" s="6"/>
      <c r="M113" s="8"/>
      <c r="S113" s="4"/>
    </row>
    <row r="114">
      <c r="C114" s="2"/>
      <c r="D114" s="6"/>
      <c r="E114" s="4"/>
      <c r="J114" s="6"/>
      <c r="M114" s="8"/>
      <c r="S114" s="4"/>
    </row>
    <row r="115">
      <c r="C115" s="2"/>
      <c r="D115" s="6"/>
      <c r="E115" s="4"/>
      <c r="J115" s="6"/>
      <c r="M115" s="8"/>
      <c r="S115" s="4"/>
    </row>
    <row r="116">
      <c r="C116" s="2"/>
      <c r="D116" s="6"/>
      <c r="E116" s="4"/>
      <c r="J116" s="6"/>
      <c r="M116" s="8"/>
      <c r="S116" s="4"/>
    </row>
    <row r="117">
      <c r="C117" s="2"/>
      <c r="D117" s="6"/>
      <c r="E117" s="4"/>
      <c r="J117" s="6"/>
      <c r="M117" s="8"/>
      <c r="S117" s="4"/>
    </row>
    <row r="118">
      <c r="C118" s="2"/>
      <c r="D118" s="6"/>
      <c r="E118" s="4"/>
      <c r="J118" s="6"/>
      <c r="M118" s="8"/>
      <c r="S118" s="4"/>
    </row>
    <row r="119">
      <c r="C119" s="2"/>
      <c r="D119" s="6"/>
      <c r="E119" s="4"/>
      <c r="J119" s="6"/>
      <c r="M119" s="8"/>
      <c r="S119" s="4"/>
    </row>
    <row r="120">
      <c r="C120" s="2"/>
      <c r="D120" s="6"/>
      <c r="E120" s="4"/>
      <c r="J120" s="6"/>
      <c r="M120" s="8"/>
      <c r="S120" s="4"/>
    </row>
    <row r="121">
      <c r="C121" s="2"/>
      <c r="D121" s="6"/>
      <c r="E121" s="4"/>
      <c r="J121" s="6"/>
      <c r="M121" s="8"/>
      <c r="S121" s="4"/>
    </row>
    <row r="122">
      <c r="C122" s="2"/>
      <c r="D122" s="6"/>
      <c r="E122" s="4"/>
      <c r="J122" s="6"/>
      <c r="M122" s="8"/>
      <c r="S122" s="4"/>
    </row>
    <row r="123">
      <c r="C123" s="2"/>
      <c r="D123" s="6"/>
      <c r="E123" s="4"/>
      <c r="J123" s="6"/>
      <c r="M123" s="8"/>
      <c r="S123" s="4"/>
    </row>
    <row r="124">
      <c r="C124" s="2"/>
      <c r="D124" s="6"/>
      <c r="E124" s="4"/>
      <c r="J124" s="6"/>
      <c r="M124" s="8"/>
      <c r="S124" s="4"/>
    </row>
    <row r="125">
      <c r="C125" s="2"/>
      <c r="D125" s="6"/>
      <c r="E125" s="4"/>
      <c r="J125" s="6"/>
      <c r="M125" s="8"/>
      <c r="S125" s="4"/>
    </row>
    <row r="126">
      <c r="C126" s="2"/>
      <c r="D126" s="6"/>
      <c r="E126" s="4"/>
      <c r="J126" s="6"/>
      <c r="M126" s="8"/>
      <c r="S126" s="4"/>
    </row>
    <row r="127">
      <c r="C127" s="2"/>
      <c r="D127" s="6"/>
      <c r="E127" s="4"/>
      <c r="J127" s="6"/>
      <c r="M127" s="8"/>
      <c r="S127" s="4"/>
    </row>
    <row r="128">
      <c r="C128" s="2"/>
      <c r="D128" s="6"/>
      <c r="E128" s="4"/>
      <c r="J128" s="6"/>
      <c r="M128" s="8"/>
      <c r="S128" s="4"/>
    </row>
    <row r="129">
      <c r="C129" s="2"/>
      <c r="D129" s="6"/>
      <c r="E129" s="4"/>
      <c r="J129" s="6"/>
      <c r="M129" s="8"/>
      <c r="S129" s="4"/>
    </row>
    <row r="130">
      <c r="C130" s="2"/>
      <c r="D130" s="6"/>
      <c r="E130" s="4"/>
      <c r="J130" s="6"/>
      <c r="M130" s="8"/>
      <c r="S130" s="4"/>
    </row>
    <row r="131">
      <c r="C131" s="2"/>
      <c r="D131" s="6"/>
      <c r="E131" s="4"/>
      <c r="J131" s="6"/>
      <c r="M131" s="8"/>
      <c r="S131" s="4"/>
    </row>
    <row r="132">
      <c r="C132" s="2"/>
      <c r="D132" s="6"/>
      <c r="E132" s="4"/>
      <c r="J132" s="6"/>
      <c r="M132" s="8"/>
      <c r="S132" s="4"/>
    </row>
    <row r="133">
      <c r="C133" s="2"/>
      <c r="D133" s="6"/>
      <c r="E133" s="4"/>
      <c r="J133" s="6"/>
      <c r="M133" s="8"/>
      <c r="S133" s="4"/>
    </row>
    <row r="134">
      <c r="C134" s="2"/>
      <c r="D134" s="6"/>
      <c r="E134" s="4"/>
      <c r="J134" s="6"/>
      <c r="M134" s="8"/>
      <c r="S134" s="4"/>
    </row>
    <row r="135">
      <c r="C135" s="2"/>
      <c r="D135" s="6"/>
      <c r="E135" s="4"/>
      <c r="J135" s="6"/>
      <c r="M135" s="8"/>
      <c r="S135" s="4"/>
    </row>
    <row r="136">
      <c r="C136" s="2"/>
      <c r="D136" s="6"/>
      <c r="E136" s="4"/>
      <c r="J136" s="6"/>
      <c r="M136" s="8"/>
      <c r="S136" s="4"/>
    </row>
    <row r="137">
      <c r="C137" s="2"/>
      <c r="D137" s="6"/>
      <c r="E137" s="4"/>
      <c r="J137" s="6"/>
      <c r="M137" s="8"/>
      <c r="S137" s="4"/>
    </row>
    <row r="138">
      <c r="C138" s="2"/>
      <c r="D138" s="6"/>
      <c r="E138" s="4"/>
      <c r="J138" s="6"/>
      <c r="M138" s="8"/>
      <c r="S138" s="4"/>
    </row>
    <row r="139">
      <c r="C139" s="2"/>
      <c r="D139" s="6"/>
      <c r="E139" s="4"/>
      <c r="J139" s="6"/>
      <c r="M139" s="8"/>
      <c r="S139" s="4"/>
    </row>
    <row r="140">
      <c r="C140" s="2"/>
      <c r="D140" s="6"/>
      <c r="E140" s="4"/>
      <c r="J140" s="6"/>
      <c r="M140" s="8"/>
      <c r="S140" s="4"/>
    </row>
    <row r="141">
      <c r="C141" s="2"/>
      <c r="D141" s="6"/>
      <c r="E141" s="4"/>
      <c r="J141" s="6"/>
      <c r="M141" s="8"/>
      <c r="S141" s="4"/>
    </row>
    <row r="142">
      <c r="C142" s="2"/>
      <c r="D142" s="6"/>
      <c r="E142" s="4"/>
      <c r="J142" s="6"/>
      <c r="M142" s="8"/>
      <c r="S142" s="4"/>
    </row>
    <row r="143">
      <c r="C143" s="2"/>
      <c r="D143" s="6"/>
      <c r="E143" s="4"/>
      <c r="J143" s="6"/>
      <c r="M143" s="8"/>
      <c r="S143" s="4"/>
    </row>
    <row r="144">
      <c r="C144" s="2"/>
      <c r="D144" s="6"/>
      <c r="E144" s="4"/>
      <c r="J144" s="6"/>
      <c r="M144" s="8"/>
      <c r="S144" s="4"/>
    </row>
    <row r="145">
      <c r="C145" s="2"/>
      <c r="D145" s="6"/>
      <c r="E145" s="4"/>
      <c r="J145" s="6"/>
      <c r="M145" s="8"/>
      <c r="S145" s="4"/>
    </row>
    <row r="146">
      <c r="C146" s="2"/>
      <c r="D146" s="6"/>
      <c r="E146" s="4"/>
      <c r="J146" s="6"/>
      <c r="M146" s="8"/>
      <c r="S146" s="4"/>
    </row>
    <row r="147">
      <c r="C147" s="2"/>
      <c r="D147" s="6"/>
      <c r="E147" s="4"/>
      <c r="J147" s="6"/>
      <c r="M147" s="8"/>
      <c r="S147" s="4"/>
    </row>
    <row r="148">
      <c r="C148" s="2"/>
      <c r="D148" s="6"/>
      <c r="E148" s="4"/>
      <c r="J148" s="6"/>
      <c r="M148" s="8"/>
      <c r="S148" s="4"/>
    </row>
    <row r="149">
      <c r="C149" s="2"/>
      <c r="D149" s="6"/>
      <c r="E149" s="4"/>
      <c r="J149" s="6"/>
      <c r="M149" s="8"/>
      <c r="S149" s="4"/>
    </row>
    <row r="150">
      <c r="C150" s="2"/>
      <c r="D150" s="6"/>
      <c r="E150" s="4"/>
      <c r="J150" s="6"/>
      <c r="M150" s="8"/>
      <c r="S150" s="4"/>
    </row>
    <row r="151">
      <c r="C151" s="2"/>
      <c r="D151" s="6"/>
      <c r="E151" s="4"/>
      <c r="J151" s="6"/>
      <c r="M151" s="8"/>
      <c r="S151" s="4"/>
    </row>
    <row r="152">
      <c r="C152" s="2"/>
      <c r="D152" s="6"/>
      <c r="E152" s="4"/>
      <c r="J152" s="6"/>
      <c r="M152" s="8"/>
      <c r="S152" s="4"/>
    </row>
    <row r="153">
      <c r="C153" s="2"/>
      <c r="D153" s="6"/>
      <c r="E153" s="4"/>
      <c r="J153" s="6"/>
      <c r="M153" s="8"/>
      <c r="S153" s="4"/>
    </row>
    <row r="154">
      <c r="C154" s="2"/>
      <c r="D154" s="6"/>
      <c r="E154" s="4"/>
      <c r="J154" s="6"/>
      <c r="M154" s="8"/>
      <c r="S154" s="4"/>
    </row>
    <row r="155">
      <c r="C155" s="2"/>
      <c r="D155" s="6"/>
      <c r="E155" s="4"/>
      <c r="J155" s="6"/>
      <c r="M155" s="8"/>
      <c r="S155" s="4"/>
    </row>
    <row r="156">
      <c r="C156" s="2"/>
      <c r="D156" s="6"/>
      <c r="E156" s="4"/>
      <c r="J156" s="6"/>
      <c r="M156" s="8"/>
      <c r="S156" s="4"/>
    </row>
    <row r="157">
      <c r="C157" s="2"/>
      <c r="D157" s="6"/>
      <c r="E157" s="4"/>
      <c r="J157" s="6"/>
      <c r="M157" s="8"/>
      <c r="S157" s="4"/>
    </row>
    <row r="158">
      <c r="C158" s="2"/>
      <c r="D158" s="6"/>
      <c r="E158" s="4"/>
      <c r="J158" s="6"/>
      <c r="M158" s="8"/>
      <c r="S158" s="4"/>
    </row>
    <row r="159">
      <c r="C159" s="2"/>
      <c r="D159" s="6"/>
      <c r="E159" s="4"/>
      <c r="J159" s="6"/>
      <c r="M159" s="8"/>
      <c r="S159" s="4"/>
    </row>
    <row r="160">
      <c r="C160" s="2"/>
      <c r="D160" s="6"/>
      <c r="E160" s="4"/>
      <c r="J160" s="6"/>
      <c r="M160" s="8"/>
      <c r="S160" s="4"/>
    </row>
    <row r="161">
      <c r="C161" s="2"/>
      <c r="D161" s="6"/>
      <c r="E161" s="4"/>
      <c r="J161" s="6"/>
      <c r="M161" s="8"/>
      <c r="S161" s="4"/>
    </row>
    <row r="162">
      <c r="C162" s="2"/>
      <c r="D162" s="6"/>
      <c r="E162" s="4"/>
      <c r="J162" s="6"/>
      <c r="M162" s="8"/>
      <c r="S162" s="4"/>
    </row>
    <row r="163">
      <c r="C163" s="2"/>
      <c r="D163" s="6"/>
      <c r="E163" s="4"/>
      <c r="J163" s="6"/>
      <c r="M163" s="8"/>
      <c r="S163" s="4"/>
    </row>
    <row r="164">
      <c r="C164" s="2"/>
      <c r="D164" s="6"/>
      <c r="E164" s="4"/>
      <c r="J164" s="6"/>
      <c r="M164" s="8"/>
      <c r="S164" s="4"/>
    </row>
    <row r="165">
      <c r="C165" s="2"/>
      <c r="D165" s="6"/>
      <c r="E165" s="4"/>
      <c r="J165" s="6"/>
      <c r="M165" s="8"/>
      <c r="S165" s="4"/>
    </row>
    <row r="166">
      <c r="C166" s="2"/>
      <c r="D166" s="6"/>
      <c r="E166" s="4"/>
      <c r="J166" s="6"/>
      <c r="M166" s="8"/>
      <c r="S166" s="4"/>
    </row>
    <row r="167">
      <c r="C167" s="2"/>
      <c r="D167" s="6"/>
      <c r="E167" s="4"/>
      <c r="J167" s="6"/>
      <c r="M167" s="8"/>
      <c r="S167" s="4"/>
    </row>
    <row r="168">
      <c r="C168" s="2"/>
      <c r="D168" s="6"/>
      <c r="E168" s="4"/>
      <c r="J168" s="6"/>
      <c r="M168" s="8"/>
      <c r="S168" s="4"/>
    </row>
    <row r="169">
      <c r="C169" s="2"/>
      <c r="D169" s="6"/>
      <c r="E169" s="4"/>
      <c r="J169" s="6"/>
      <c r="M169" s="8"/>
      <c r="S169" s="4"/>
    </row>
    <row r="170">
      <c r="C170" s="2"/>
      <c r="D170" s="6"/>
      <c r="E170" s="4"/>
      <c r="J170" s="6"/>
      <c r="M170" s="8"/>
      <c r="S170" s="4"/>
    </row>
    <row r="171">
      <c r="C171" s="2"/>
      <c r="D171" s="6"/>
      <c r="E171" s="4"/>
      <c r="J171" s="6"/>
      <c r="M171" s="8"/>
      <c r="S171" s="4"/>
    </row>
    <row r="172">
      <c r="C172" s="2"/>
      <c r="D172" s="6"/>
      <c r="E172" s="4"/>
      <c r="J172" s="6"/>
      <c r="M172" s="8"/>
      <c r="S172" s="4"/>
    </row>
    <row r="173">
      <c r="C173" s="2"/>
      <c r="D173" s="6"/>
      <c r="E173" s="4"/>
      <c r="J173" s="6"/>
      <c r="M173" s="8"/>
      <c r="S173" s="4"/>
    </row>
    <row r="174">
      <c r="C174" s="2"/>
      <c r="D174" s="6"/>
      <c r="E174" s="4"/>
      <c r="J174" s="6"/>
      <c r="M174" s="8"/>
      <c r="S174" s="4"/>
    </row>
    <row r="175">
      <c r="C175" s="2"/>
      <c r="D175" s="6"/>
      <c r="E175" s="4"/>
      <c r="J175" s="6"/>
      <c r="M175" s="8"/>
      <c r="S175" s="4"/>
    </row>
    <row r="176">
      <c r="C176" s="2"/>
      <c r="D176" s="6"/>
      <c r="E176" s="4"/>
      <c r="J176" s="6"/>
      <c r="M176" s="8"/>
      <c r="S176" s="4"/>
    </row>
    <row r="177">
      <c r="C177" s="2"/>
      <c r="D177" s="6"/>
      <c r="E177" s="4"/>
      <c r="J177" s="6"/>
      <c r="M177" s="8"/>
      <c r="S177" s="4"/>
    </row>
    <row r="178">
      <c r="C178" s="2"/>
      <c r="D178" s="6"/>
      <c r="E178" s="4"/>
      <c r="J178" s="6"/>
      <c r="M178" s="8"/>
      <c r="S178" s="4"/>
    </row>
    <row r="179">
      <c r="C179" s="2"/>
      <c r="D179" s="6"/>
      <c r="E179" s="4"/>
      <c r="J179" s="6"/>
      <c r="M179" s="8"/>
      <c r="S179" s="4"/>
    </row>
    <row r="180">
      <c r="C180" s="2"/>
      <c r="D180" s="6"/>
      <c r="E180" s="4"/>
      <c r="J180" s="6"/>
      <c r="M180" s="8"/>
      <c r="S180" s="4"/>
    </row>
    <row r="181">
      <c r="C181" s="2"/>
      <c r="D181" s="6"/>
      <c r="E181" s="4"/>
      <c r="J181" s="6"/>
      <c r="M181" s="8"/>
      <c r="S181" s="4"/>
    </row>
    <row r="182">
      <c r="C182" s="2"/>
      <c r="D182" s="6"/>
      <c r="E182" s="4"/>
      <c r="J182" s="6"/>
      <c r="M182" s="8"/>
      <c r="S182" s="4"/>
    </row>
    <row r="183">
      <c r="C183" s="2"/>
      <c r="D183" s="6"/>
      <c r="E183" s="4"/>
      <c r="J183" s="6"/>
      <c r="M183" s="8"/>
      <c r="S183" s="4"/>
    </row>
    <row r="184">
      <c r="C184" s="2"/>
      <c r="D184" s="6"/>
      <c r="E184" s="4"/>
      <c r="J184" s="6"/>
      <c r="M184" s="8"/>
      <c r="S184" s="4"/>
    </row>
    <row r="185">
      <c r="C185" s="2"/>
      <c r="D185" s="6"/>
      <c r="E185" s="4"/>
      <c r="J185" s="6"/>
      <c r="M185" s="8"/>
      <c r="S185" s="4"/>
    </row>
    <row r="186">
      <c r="C186" s="2"/>
      <c r="D186" s="6"/>
      <c r="E186" s="4"/>
      <c r="J186" s="6"/>
      <c r="M186" s="8"/>
      <c r="S186" s="4"/>
    </row>
    <row r="187">
      <c r="C187" s="2"/>
      <c r="D187" s="6"/>
      <c r="E187" s="4"/>
      <c r="J187" s="6"/>
      <c r="M187" s="8"/>
      <c r="S187" s="4"/>
    </row>
    <row r="188">
      <c r="C188" s="2"/>
      <c r="D188" s="6"/>
      <c r="E188" s="4"/>
      <c r="J188" s="6"/>
      <c r="M188" s="8"/>
      <c r="S188" s="4"/>
    </row>
    <row r="189">
      <c r="C189" s="2"/>
      <c r="D189" s="6"/>
      <c r="E189" s="4"/>
      <c r="J189" s="6"/>
      <c r="M189" s="8"/>
      <c r="S189" s="4"/>
    </row>
    <row r="190">
      <c r="C190" s="2"/>
      <c r="D190" s="6"/>
      <c r="E190" s="4"/>
      <c r="J190" s="6"/>
      <c r="M190" s="8"/>
      <c r="S190" s="4"/>
    </row>
    <row r="191">
      <c r="C191" s="2"/>
      <c r="D191" s="6"/>
      <c r="E191" s="4"/>
      <c r="J191" s="6"/>
      <c r="M191" s="8"/>
      <c r="S191" s="4"/>
    </row>
    <row r="192">
      <c r="C192" s="2"/>
      <c r="D192" s="6"/>
      <c r="E192" s="4"/>
      <c r="J192" s="6"/>
      <c r="M192" s="8"/>
      <c r="S192" s="4"/>
    </row>
    <row r="193">
      <c r="C193" s="2"/>
      <c r="D193" s="6"/>
      <c r="E193" s="4"/>
      <c r="J193" s="6"/>
      <c r="M193" s="8"/>
      <c r="S193" s="4"/>
    </row>
    <row r="194">
      <c r="C194" s="2"/>
      <c r="D194" s="6"/>
      <c r="E194" s="4"/>
      <c r="J194" s="6"/>
      <c r="M194" s="8"/>
      <c r="S194" s="4"/>
    </row>
    <row r="195">
      <c r="C195" s="2"/>
      <c r="D195" s="6"/>
      <c r="E195" s="4"/>
      <c r="J195" s="6"/>
      <c r="M195" s="8"/>
      <c r="S195" s="4"/>
    </row>
    <row r="196">
      <c r="C196" s="2"/>
      <c r="D196" s="6"/>
      <c r="E196" s="4"/>
      <c r="J196" s="6"/>
      <c r="M196" s="8"/>
      <c r="S196" s="4"/>
    </row>
    <row r="197">
      <c r="C197" s="2"/>
      <c r="D197" s="6"/>
      <c r="E197" s="4"/>
      <c r="J197" s="6"/>
      <c r="M197" s="8"/>
      <c r="S197" s="4"/>
    </row>
    <row r="198">
      <c r="C198" s="2"/>
      <c r="D198" s="6"/>
      <c r="E198" s="4"/>
      <c r="J198" s="6"/>
      <c r="M198" s="8"/>
      <c r="S198" s="4"/>
    </row>
    <row r="199">
      <c r="C199" s="2"/>
      <c r="D199" s="6"/>
      <c r="E199" s="4"/>
      <c r="J199" s="6"/>
      <c r="M199" s="8"/>
      <c r="S199" s="4"/>
    </row>
    <row r="200">
      <c r="C200" s="2"/>
      <c r="D200" s="6"/>
      <c r="E200" s="4"/>
      <c r="J200" s="6"/>
      <c r="M200" s="8"/>
      <c r="S200" s="4"/>
    </row>
    <row r="201">
      <c r="C201" s="2"/>
      <c r="D201" s="6"/>
      <c r="E201" s="4"/>
      <c r="J201" s="6"/>
      <c r="M201" s="8"/>
      <c r="S201" s="4"/>
    </row>
    <row r="202">
      <c r="C202" s="2"/>
      <c r="D202" s="6"/>
      <c r="E202" s="4"/>
      <c r="J202" s="6"/>
      <c r="M202" s="8"/>
      <c r="S202" s="4"/>
    </row>
    <row r="203">
      <c r="C203" s="2"/>
      <c r="D203" s="6"/>
      <c r="E203" s="4"/>
      <c r="J203" s="6"/>
      <c r="M203" s="8"/>
      <c r="S203" s="4"/>
    </row>
    <row r="204">
      <c r="C204" s="2"/>
      <c r="D204" s="6"/>
      <c r="E204" s="4"/>
      <c r="J204" s="6"/>
      <c r="M204" s="8"/>
      <c r="S204" s="4"/>
    </row>
    <row r="205">
      <c r="C205" s="2"/>
      <c r="D205" s="6"/>
      <c r="E205" s="4"/>
      <c r="J205" s="6"/>
      <c r="M205" s="8"/>
      <c r="S205" s="4"/>
    </row>
    <row r="206">
      <c r="C206" s="2"/>
      <c r="D206" s="6"/>
      <c r="E206" s="4"/>
      <c r="J206" s="6"/>
      <c r="M206" s="8"/>
      <c r="S206" s="4"/>
    </row>
    <row r="207">
      <c r="C207" s="2"/>
      <c r="D207" s="6"/>
      <c r="E207" s="4"/>
      <c r="J207" s="6"/>
      <c r="M207" s="8"/>
      <c r="S207" s="4"/>
    </row>
    <row r="208">
      <c r="C208" s="2"/>
      <c r="D208" s="6"/>
      <c r="E208" s="4"/>
      <c r="J208" s="6"/>
      <c r="M208" s="8"/>
      <c r="S208" s="4"/>
    </row>
    <row r="209">
      <c r="C209" s="2"/>
      <c r="D209" s="6"/>
      <c r="E209" s="4"/>
      <c r="J209" s="6"/>
      <c r="M209" s="8"/>
      <c r="S209" s="4"/>
    </row>
    <row r="210">
      <c r="C210" s="2"/>
      <c r="D210" s="6"/>
      <c r="E210" s="4"/>
      <c r="J210" s="6"/>
      <c r="M210" s="8"/>
      <c r="S210" s="4"/>
    </row>
    <row r="211">
      <c r="C211" s="2"/>
      <c r="D211" s="6"/>
      <c r="E211" s="4"/>
      <c r="J211" s="6"/>
      <c r="M211" s="8"/>
      <c r="S211" s="4"/>
    </row>
    <row r="212">
      <c r="C212" s="2"/>
      <c r="D212" s="6"/>
      <c r="E212" s="4"/>
      <c r="J212" s="6"/>
      <c r="M212" s="8"/>
      <c r="S212" s="4"/>
    </row>
    <row r="213">
      <c r="C213" s="2"/>
      <c r="D213" s="6"/>
      <c r="E213" s="4"/>
      <c r="J213" s="6"/>
      <c r="M213" s="8"/>
      <c r="S213" s="4"/>
    </row>
    <row r="214">
      <c r="C214" s="2"/>
      <c r="D214" s="6"/>
      <c r="E214" s="4"/>
      <c r="J214" s="6"/>
      <c r="M214" s="8"/>
      <c r="S214" s="4"/>
    </row>
    <row r="215">
      <c r="C215" s="2"/>
      <c r="D215" s="6"/>
      <c r="E215" s="4"/>
      <c r="J215" s="6"/>
      <c r="M215" s="8"/>
      <c r="S215" s="4"/>
    </row>
    <row r="216">
      <c r="C216" s="2"/>
      <c r="D216" s="6"/>
      <c r="E216" s="4"/>
      <c r="J216" s="6"/>
      <c r="M216" s="8"/>
      <c r="S216" s="4"/>
    </row>
    <row r="217">
      <c r="C217" s="2"/>
      <c r="D217" s="6"/>
      <c r="E217" s="4"/>
      <c r="J217" s="6"/>
      <c r="M217" s="8"/>
      <c r="S217" s="4"/>
    </row>
    <row r="218">
      <c r="C218" s="2"/>
      <c r="D218" s="6"/>
      <c r="E218" s="4"/>
      <c r="J218" s="6"/>
      <c r="M218" s="8"/>
      <c r="S218" s="4"/>
    </row>
    <row r="219">
      <c r="C219" s="2"/>
      <c r="D219" s="6"/>
      <c r="E219" s="4"/>
      <c r="J219" s="6"/>
      <c r="M219" s="8"/>
      <c r="S219" s="4"/>
    </row>
    <row r="220">
      <c r="C220" s="2"/>
      <c r="D220" s="6"/>
      <c r="E220" s="4"/>
      <c r="J220" s="6"/>
      <c r="M220" s="8"/>
      <c r="S220" s="4"/>
    </row>
    <row r="221">
      <c r="C221" s="2"/>
      <c r="D221" s="6"/>
      <c r="E221" s="4"/>
      <c r="J221" s="6"/>
      <c r="M221" s="8"/>
      <c r="S221" s="4"/>
    </row>
    <row r="222">
      <c r="C222" s="2"/>
      <c r="D222" s="6"/>
      <c r="E222" s="4"/>
      <c r="J222" s="6"/>
      <c r="M222" s="8"/>
      <c r="S222" s="4"/>
    </row>
    <row r="223">
      <c r="C223" s="2"/>
      <c r="D223" s="6"/>
      <c r="E223" s="4"/>
      <c r="J223" s="6"/>
      <c r="M223" s="8"/>
      <c r="S223" s="4"/>
    </row>
    <row r="224">
      <c r="C224" s="2"/>
      <c r="D224" s="6"/>
      <c r="E224" s="4"/>
      <c r="J224" s="6"/>
      <c r="M224" s="8"/>
      <c r="S224" s="4"/>
    </row>
    <row r="225">
      <c r="C225" s="2"/>
      <c r="D225" s="6"/>
      <c r="E225" s="4"/>
      <c r="J225" s="6"/>
      <c r="M225" s="8"/>
      <c r="S225" s="4"/>
    </row>
    <row r="226">
      <c r="C226" s="2"/>
      <c r="D226" s="6"/>
      <c r="E226" s="4"/>
      <c r="J226" s="6"/>
      <c r="M226" s="8"/>
      <c r="S226" s="4"/>
    </row>
    <row r="227">
      <c r="C227" s="2"/>
      <c r="D227" s="6"/>
      <c r="E227" s="4"/>
      <c r="J227" s="6"/>
      <c r="M227" s="8"/>
      <c r="S227" s="4"/>
    </row>
    <row r="228">
      <c r="C228" s="2"/>
      <c r="D228" s="6"/>
      <c r="E228" s="4"/>
      <c r="J228" s="6"/>
      <c r="M228" s="8"/>
      <c r="S228" s="4"/>
    </row>
    <row r="229">
      <c r="C229" s="2"/>
      <c r="D229" s="6"/>
      <c r="E229" s="4"/>
      <c r="J229" s="6"/>
      <c r="M229" s="8"/>
      <c r="S229" s="4"/>
    </row>
    <row r="230">
      <c r="C230" s="2"/>
      <c r="D230" s="6"/>
      <c r="E230" s="4"/>
      <c r="J230" s="6"/>
      <c r="M230" s="8"/>
      <c r="S230" s="4"/>
    </row>
    <row r="231">
      <c r="C231" s="2"/>
      <c r="D231" s="6"/>
      <c r="E231" s="4"/>
      <c r="J231" s="6"/>
      <c r="M231" s="8"/>
      <c r="S231" s="4"/>
    </row>
    <row r="232">
      <c r="C232" s="2"/>
      <c r="D232" s="6"/>
      <c r="E232" s="4"/>
      <c r="J232" s="6"/>
      <c r="M232" s="8"/>
      <c r="S232" s="4"/>
    </row>
    <row r="233">
      <c r="C233" s="2"/>
      <c r="D233" s="6"/>
      <c r="E233" s="4"/>
      <c r="J233" s="6"/>
      <c r="M233" s="8"/>
      <c r="S233" s="4"/>
    </row>
    <row r="234">
      <c r="C234" s="2"/>
      <c r="D234" s="6"/>
      <c r="E234" s="4"/>
      <c r="J234" s="6"/>
      <c r="M234" s="8"/>
      <c r="S234" s="4"/>
    </row>
    <row r="235">
      <c r="C235" s="2"/>
      <c r="D235" s="6"/>
      <c r="E235" s="4"/>
      <c r="J235" s="6"/>
      <c r="M235" s="8"/>
      <c r="S235" s="4"/>
    </row>
    <row r="236">
      <c r="C236" s="2"/>
      <c r="D236" s="6"/>
      <c r="E236" s="4"/>
      <c r="J236" s="6"/>
      <c r="M236" s="8"/>
      <c r="S236" s="4"/>
    </row>
    <row r="237">
      <c r="C237" s="2"/>
      <c r="D237" s="6"/>
      <c r="E237" s="4"/>
      <c r="J237" s="6"/>
      <c r="M237" s="8"/>
      <c r="S237" s="4"/>
    </row>
    <row r="238">
      <c r="C238" s="2"/>
      <c r="D238" s="6"/>
      <c r="E238" s="4"/>
      <c r="J238" s="6"/>
      <c r="M238" s="8"/>
      <c r="S238" s="4"/>
    </row>
    <row r="239">
      <c r="C239" s="2"/>
      <c r="D239" s="6"/>
      <c r="E239" s="4"/>
      <c r="J239" s="6"/>
      <c r="M239" s="8"/>
      <c r="S239" s="4"/>
    </row>
    <row r="240">
      <c r="C240" s="2"/>
      <c r="D240" s="6"/>
      <c r="E240" s="4"/>
      <c r="J240" s="6"/>
      <c r="M240" s="8"/>
      <c r="S240" s="4"/>
    </row>
    <row r="241">
      <c r="C241" s="2"/>
      <c r="D241" s="6"/>
      <c r="E241" s="4"/>
      <c r="J241" s="6"/>
      <c r="M241" s="8"/>
      <c r="S241" s="4"/>
    </row>
    <row r="242">
      <c r="C242" s="2"/>
      <c r="D242" s="6"/>
      <c r="E242" s="4"/>
      <c r="J242" s="6"/>
      <c r="M242" s="8"/>
      <c r="S242" s="4"/>
    </row>
    <row r="243">
      <c r="C243" s="2"/>
      <c r="D243" s="6"/>
      <c r="E243" s="4"/>
      <c r="J243" s="6"/>
      <c r="M243" s="8"/>
      <c r="S243" s="4"/>
    </row>
    <row r="244">
      <c r="C244" s="2"/>
      <c r="D244" s="6"/>
      <c r="E244" s="4"/>
      <c r="J244" s="6"/>
      <c r="M244" s="8"/>
      <c r="S244" s="4"/>
    </row>
    <row r="245">
      <c r="C245" s="2"/>
      <c r="D245" s="6"/>
      <c r="E245" s="4"/>
      <c r="J245" s="6"/>
      <c r="M245" s="8"/>
      <c r="S245" s="4"/>
    </row>
    <row r="246">
      <c r="C246" s="2"/>
      <c r="D246" s="6"/>
      <c r="E246" s="4"/>
      <c r="J246" s="6"/>
      <c r="M246" s="8"/>
      <c r="S246" s="4"/>
    </row>
    <row r="247">
      <c r="C247" s="2"/>
      <c r="D247" s="6"/>
      <c r="E247" s="4"/>
      <c r="J247" s="6"/>
      <c r="M247" s="8"/>
      <c r="S247" s="4"/>
    </row>
    <row r="248">
      <c r="C248" s="2"/>
      <c r="D248" s="6"/>
      <c r="E248" s="4"/>
      <c r="J248" s="6"/>
      <c r="M248" s="8"/>
      <c r="S248" s="4"/>
    </row>
    <row r="249">
      <c r="C249" s="2"/>
      <c r="D249" s="6"/>
      <c r="E249" s="4"/>
      <c r="J249" s="6"/>
      <c r="M249" s="8"/>
      <c r="S249" s="4"/>
    </row>
    <row r="250">
      <c r="C250" s="2"/>
      <c r="D250" s="6"/>
      <c r="E250" s="4"/>
      <c r="J250" s="6"/>
      <c r="M250" s="8"/>
      <c r="S250" s="4"/>
    </row>
    <row r="251">
      <c r="C251" s="2"/>
      <c r="D251" s="6"/>
      <c r="E251" s="4"/>
      <c r="J251" s="6"/>
      <c r="M251" s="8"/>
      <c r="S251" s="4"/>
    </row>
    <row r="252">
      <c r="C252" s="2"/>
      <c r="D252" s="6"/>
      <c r="E252" s="4"/>
      <c r="J252" s="6"/>
      <c r="M252" s="8"/>
      <c r="S252" s="4"/>
    </row>
    <row r="253">
      <c r="C253" s="2"/>
      <c r="D253" s="6"/>
      <c r="E253" s="4"/>
      <c r="J253" s="6"/>
      <c r="M253" s="8"/>
      <c r="S253" s="4"/>
    </row>
    <row r="254">
      <c r="C254" s="2"/>
      <c r="D254" s="6"/>
      <c r="E254" s="4"/>
      <c r="J254" s="6"/>
      <c r="M254" s="8"/>
      <c r="S254" s="4"/>
    </row>
    <row r="255">
      <c r="C255" s="2"/>
      <c r="D255" s="6"/>
      <c r="E255" s="4"/>
      <c r="J255" s="6"/>
      <c r="M255" s="8"/>
      <c r="S255" s="4"/>
    </row>
    <row r="256">
      <c r="C256" s="2"/>
      <c r="D256" s="6"/>
      <c r="E256" s="4"/>
      <c r="J256" s="6"/>
      <c r="M256" s="8"/>
      <c r="S256" s="4"/>
    </row>
    <row r="257">
      <c r="C257" s="2"/>
      <c r="D257" s="6"/>
      <c r="E257" s="4"/>
      <c r="J257" s="6"/>
      <c r="M257" s="8"/>
      <c r="S257" s="4"/>
    </row>
    <row r="258">
      <c r="C258" s="2"/>
      <c r="D258" s="6"/>
      <c r="E258" s="4"/>
      <c r="J258" s="6"/>
      <c r="M258" s="8"/>
      <c r="S258" s="4"/>
    </row>
    <row r="259">
      <c r="C259" s="2"/>
      <c r="D259" s="6"/>
      <c r="E259" s="4"/>
      <c r="J259" s="6"/>
      <c r="M259" s="8"/>
      <c r="S259" s="4"/>
    </row>
    <row r="260">
      <c r="C260" s="2"/>
      <c r="D260" s="6"/>
      <c r="E260" s="4"/>
      <c r="J260" s="6"/>
      <c r="M260" s="8"/>
      <c r="S260" s="4"/>
    </row>
    <row r="261">
      <c r="C261" s="2"/>
      <c r="D261" s="6"/>
      <c r="E261" s="4"/>
      <c r="J261" s="6"/>
      <c r="M261" s="8"/>
      <c r="S261" s="4"/>
    </row>
    <row r="262">
      <c r="C262" s="2"/>
      <c r="D262" s="6"/>
      <c r="E262" s="4"/>
      <c r="J262" s="6"/>
      <c r="M262" s="8"/>
      <c r="S262" s="4"/>
    </row>
    <row r="263">
      <c r="C263" s="2"/>
      <c r="D263" s="6"/>
      <c r="E263" s="4"/>
      <c r="J263" s="6"/>
      <c r="M263" s="8"/>
      <c r="S263" s="4"/>
    </row>
    <row r="264">
      <c r="C264" s="2"/>
      <c r="D264" s="6"/>
      <c r="E264" s="4"/>
      <c r="J264" s="6"/>
      <c r="M264" s="8"/>
      <c r="S264" s="4"/>
    </row>
    <row r="265">
      <c r="C265" s="2"/>
      <c r="D265" s="6"/>
      <c r="E265" s="4"/>
      <c r="J265" s="6"/>
      <c r="M265" s="8"/>
      <c r="S265" s="4"/>
    </row>
    <row r="266">
      <c r="C266" s="2"/>
      <c r="D266" s="6"/>
      <c r="E266" s="4"/>
      <c r="J266" s="6"/>
      <c r="M266" s="8"/>
      <c r="S266" s="4"/>
    </row>
    <row r="267">
      <c r="C267" s="2"/>
      <c r="D267" s="6"/>
      <c r="E267" s="4"/>
      <c r="J267" s="6"/>
      <c r="M267" s="8"/>
      <c r="S267" s="4"/>
    </row>
    <row r="268">
      <c r="C268" s="2"/>
      <c r="D268" s="6"/>
      <c r="E268" s="4"/>
      <c r="J268" s="6"/>
      <c r="M268" s="8"/>
      <c r="S268" s="4"/>
    </row>
    <row r="269">
      <c r="C269" s="2"/>
      <c r="D269" s="6"/>
      <c r="E269" s="4"/>
      <c r="J269" s="6"/>
      <c r="M269" s="8"/>
      <c r="S269" s="4"/>
    </row>
    <row r="270">
      <c r="C270" s="2"/>
      <c r="D270" s="6"/>
      <c r="E270" s="4"/>
      <c r="J270" s="6"/>
      <c r="M270" s="8"/>
      <c r="S270" s="4"/>
    </row>
    <row r="271">
      <c r="C271" s="2"/>
      <c r="D271" s="6"/>
      <c r="E271" s="4"/>
      <c r="J271" s="6"/>
      <c r="M271" s="8"/>
      <c r="S271" s="4"/>
    </row>
    <row r="272">
      <c r="C272" s="2"/>
      <c r="D272" s="6"/>
      <c r="E272" s="4"/>
      <c r="J272" s="6"/>
      <c r="M272" s="8"/>
      <c r="S272" s="4"/>
    </row>
    <row r="273">
      <c r="C273" s="2"/>
      <c r="D273" s="6"/>
      <c r="E273" s="4"/>
      <c r="J273" s="6"/>
      <c r="M273" s="8"/>
      <c r="S273" s="4"/>
    </row>
    <row r="274">
      <c r="C274" s="2"/>
      <c r="D274" s="6"/>
      <c r="E274" s="4"/>
      <c r="J274" s="6"/>
      <c r="M274" s="8"/>
      <c r="S274" s="4"/>
    </row>
    <row r="275">
      <c r="C275" s="2"/>
      <c r="D275" s="6"/>
      <c r="E275" s="4"/>
      <c r="J275" s="6"/>
      <c r="M275" s="8"/>
      <c r="S275" s="4"/>
    </row>
    <row r="276">
      <c r="C276" s="2"/>
      <c r="D276" s="6"/>
      <c r="E276" s="4"/>
      <c r="J276" s="6"/>
      <c r="M276" s="8"/>
      <c r="S276" s="4"/>
    </row>
    <row r="277">
      <c r="C277" s="2"/>
      <c r="D277" s="6"/>
      <c r="E277" s="4"/>
      <c r="J277" s="6"/>
      <c r="M277" s="8"/>
      <c r="S277" s="4"/>
    </row>
    <row r="278">
      <c r="C278" s="2"/>
      <c r="D278" s="6"/>
      <c r="E278" s="4"/>
      <c r="J278" s="6"/>
      <c r="M278" s="8"/>
      <c r="S278" s="4"/>
    </row>
    <row r="279">
      <c r="C279" s="2"/>
      <c r="D279" s="6"/>
      <c r="E279" s="4"/>
      <c r="J279" s="6"/>
      <c r="M279" s="8"/>
      <c r="S279" s="4"/>
    </row>
    <row r="280">
      <c r="C280" s="2"/>
      <c r="D280" s="6"/>
      <c r="E280" s="4"/>
      <c r="J280" s="6"/>
      <c r="M280" s="8"/>
      <c r="S280" s="4"/>
    </row>
    <row r="281">
      <c r="C281" s="2"/>
      <c r="D281" s="6"/>
      <c r="E281" s="4"/>
      <c r="J281" s="6"/>
      <c r="M281" s="8"/>
      <c r="S281" s="4"/>
    </row>
    <row r="282">
      <c r="C282" s="2"/>
      <c r="D282" s="6"/>
      <c r="E282" s="4"/>
      <c r="J282" s="6"/>
      <c r="M282" s="8"/>
      <c r="S282" s="4"/>
    </row>
    <row r="283">
      <c r="C283" s="2"/>
      <c r="D283" s="6"/>
      <c r="E283" s="4"/>
      <c r="J283" s="6"/>
      <c r="M283" s="8"/>
      <c r="S283" s="4"/>
    </row>
    <row r="284">
      <c r="C284" s="2"/>
      <c r="D284" s="6"/>
      <c r="E284" s="4"/>
      <c r="J284" s="6"/>
      <c r="M284" s="8"/>
      <c r="S284" s="4"/>
    </row>
    <row r="285">
      <c r="C285" s="2"/>
      <c r="D285" s="6"/>
      <c r="E285" s="4"/>
      <c r="J285" s="6"/>
      <c r="M285" s="8"/>
      <c r="S285" s="4"/>
    </row>
    <row r="286">
      <c r="C286" s="2"/>
      <c r="D286" s="6"/>
      <c r="E286" s="4"/>
      <c r="J286" s="6"/>
      <c r="M286" s="8"/>
      <c r="S286" s="4"/>
    </row>
    <row r="287">
      <c r="C287" s="2"/>
      <c r="D287" s="6"/>
      <c r="E287" s="4"/>
      <c r="J287" s="6"/>
      <c r="M287" s="8"/>
      <c r="S287" s="4"/>
    </row>
    <row r="288">
      <c r="C288" s="2"/>
      <c r="D288" s="6"/>
      <c r="E288" s="4"/>
      <c r="J288" s="6"/>
      <c r="M288" s="8"/>
      <c r="S288" s="4"/>
    </row>
    <row r="289">
      <c r="C289" s="2"/>
      <c r="D289" s="6"/>
      <c r="E289" s="4"/>
      <c r="J289" s="6"/>
      <c r="M289" s="8"/>
      <c r="S289" s="4"/>
    </row>
    <row r="290">
      <c r="C290" s="2"/>
      <c r="D290" s="6"/>
      <c r="E290" s="4"/>
      <c r="J290" s="6"/>
      <c r="M290" s="8"/>
      <c r="S290" s="4"/>
    </row>
    <row r="291">
      <c r="C291" s="2"/>
      <c r="D291" s="6"/>
      <c r="E291" s="4"/>
      <c r="J291" s="6"/>
      <c r="M291" s="8"/>
      <c r="S291" s="4"/>
    </row>
    <row r="292">
      <c r="C292" s="2"/>
      <c r="D292" s="6"/>
      <c r="E292" s="4"/>
      <c r="J292" s="6"/>
      <c r="M292" s="8"/>
      <c r="S292" s="4"/>
    </row>
    <row r="293">
      <c r="C293" s="2"/>
      <c r="D293" s="6"/>
      <c r="E293" s="4"/>
      <c r="J293" s="6"/>
      <c r="M293" s="8"/>
      <c r="S293" s="4"/>
    </row>
    <row r="294">
      <c r="C294" s="2"/>
      <c r="D294" s="6"/>
      <c r="E294" s="4"/>
      <c r="J294" s="6"/>
      <c r="M294" s="8"/>
      <c r="S294" s="4"/>
    </row>
    <row r="295">
      <c r="C295" s="2"/>
      <c r="D295" s="6"/>
      <c r="E295" s="4"/>
      <c r="J295" s="6"/>
      <c r="M295" s="8"/>
      <c r="S295" s="4"/>
    </row>
    <row r="296">
      <c r="C296" s="2"/>
      <c r="D296" s="6"/>
      <c r="E296" s="4"/>
      <c r="J296" s="6"/>
      <c r="M296" s="8"/>
      <c r="S296" s="4"/>
    </row>
    <row r="297">
      <c r="C297" s="2"/>
      <c r="D297" s="6"/>
      <c r="E297" s="4"/>
      <c r="J297" s="6"/>
      <c r="M297" s="8"/>
      <c r="S297" s="4"/>
    </row>
    <row r="298">
      <c r="C298" s="2"/>
      <c r="D298" s="6"/>
      <c r="E298" s="4"/>
      <c r="J298" s="6"/>
      <c r="M298" s="8"/>
      <c r="S298" s="4"/>
    </row>
    <row r="299">
      <c r="C299" s="2"/>
      <c r="D299" s="6"/>
      <c r="E299" s="4"/>
      <c r="J299" s="6"/>
      <c r="M299" s="8"/>
      <c r="S299" s="4"/>
    </row>
    <row r="300">
      <c r="C300" s="2"/>
      <c r="D300" s="6"/>
      <c r="E300" s="4"/>
      <c r="J300" s="6"/>
      <c r="M300" s="8"/>
      <c r="S300" s="4"/>
    </row>
    <row r="301">
      <c r="C301" s="2"/>
      <c r="D301" s="6"/>
      <c r="E301" s="4"/>
      <c r="J301" s="6"/>
      <c r="M301" s="8"/>
      <c r="S301" s="4"/>
    </row>
    <row r="302">
      <c r="C302" s="2"/>
      <c r="D302" s="6"/>
      <c r="E302" s="4"/>
      <c r="J302" s="6"/>
      <c r="M302" s="8"/>
      <c r="S302" s="4"/>
    </row>
    <row r="303">
      <c r="C303" s="2"/>
      <c r="D303" s="6"/>
      <c r="E303" s="4"/>
      <c r="J303" s="6"/>
      <c r="M303" s="8"/>
      <c r="S303" s="4"/>
    </row>
    <row r="304">
      <c r="C304" s="2"/>
      <c r="D304" s="6"/>
      <c r="E304" s="4"/>
      <c r="J304" s="6"/>
      <c r="M304" s="8"/>
      <c r="S304" s="4"/>
    </row>
    <row r="305">
      <c r="C305" s="2"/>
      <c r="D305" s="6"/>
      <c r="E305" s="4"/>
      <c r="J305" s="6"/>
      <c r="M305" s="8"/>
      <c r="S305" s="4"/>
    </row>
    <row r="306">
      <c r="C306" s="2"/>
      <c r="D306" s="6"/>
      <c r="E306" s="4"/>
      <c r="J306" s="6"/>
      <c r="M306" s="8"/>
      <c r="S306" s="4"/>
    </row>
    <row r="307">
      <c r="C307" s="2"/>
      <c r="D307" s="6"/>
      <c r="E307" s="4"/>
      <c r="J307" s="6"/>
      <c r="M307" s="8"/>
      <c r="S307" s="4"/>
    </row>
    <row r="308">
      <c r="C308" s="2"/>
      <c r="D308" s="6"/>
      <c r="E308" s="4"/>
      <c r="J308" s="6"/>
      <c r="M308" s="8"/>
      <c r="S308" s="4"/>
    </row>
    <row r="309">
      <c r="C309" s="2"/>
      <c r="D309" s="6"/>
      <c r="E309" s="4"/>
      <c r="J309" s="6"/>
      <c r="M309" s="8"/>
      <c r="S309" s="4"/>
    </row>
    <row r="310">
      <c r="C310" s="2"/>
      <c r="D310" s="6"/>
      <c r="E310" s="4"/>
      <c r="J310" s="6"/>
      <c r="M310" s="8"/>
      <c r="S310" s="4"/>
    </row>
    <row r="311">
      <c r="C311" s="2"/>
      <c r="D311" s="6"/>
      <c r="E311" s="4"/>
      <c r="J311" s="6"/>
      <c r="M311" s="8"/>
      <c r="S311" s="4"/>
    </row>
    <row r="312">
      <c r="C312" s="2"/>
      <c r="D312" s="6"/>
      <c r="E312" s="4"/>
      <c r="J312" s="6"/>
      <c r="M312" s="8"/>
      <c r="S312" s="4"/>
    </row>
    <row r="313">
      <c r="C313" s="2"/>
      <c r="D313" s="6"/>
      <c r="E313" s="4"/>
      <c r="J313" s="6"/>
      <c r="M313" s="8"/>
      <c r="S313" s="4"/>
    </row>
    <row r="314">
      <c r="C314" s="2"/>
      <c r="D314" s="6"/>
      <c r="E314" s="4"/>
      <c r="J314" s="6"/>
      <c r="M314" s="8"/>
      <c r="S314" s="4"/>
    </row>
    <row r="315">
      <c r="C315" s="2"/>
      <c r="D315" s="6"/>
      <c r="E315" s="4"/>
      <c r="J315" s="6"/>
      <c r="M315" s="8"/>
      <c r="S315" s="4"/>
    </row>
    <row r="316">
      <c r="C316" s="2"/>
      <c r="D316" s="6"/>
      <c r="E316" s="4"/>
      <c r="J316" s="6"/>
      <c r="M316" s="8"/>
      <c r="S316" s="4"/>
    </row>
    <row r="317">
      <c r="C317" s="2"/>
      <c r="D317" s="6"/>
      <c r="E317" s="4"/>
      <c r="J317" s="6"/>
      <c r="M317" s="8"/>
      <c r="S317" s="4"/>
    </row>
    <row r="318">
      <c r="C318" s="2"/>
      <c r="D318" s="6"/>
      <c r="E318" s="4"/>
      <c r="J318" s="6"/>
      <c r="M318" s="8"/>
      <c r="S318" s="4"/>
    </row>
    <row r="319">
      <c r="C319" s="2"/>
      <c r="D319" s="6"/>
      <c r="E319" s="4"/>
      <c r="J319" s="6"/>
      <c r="M319" s="8"/>
      <c r="S319" s="4"/>
    </row>
    <row r="320">
      <c r="C320" s="2"/>
      <c r="D320" s="6"/>
      <c r="E320" s="4"/>
      <c r="J320" s="6"/>
      <c r="M320" s="8"/>
      <c r="S320" s="4"/>
    </row>
    <row r="321">
      <c r="C321" s="2"/>
      <c r="D321" s="6"/>
      <c r="E321" s="4"/>
      <c r="J321" s="6"/>
      <c r="M321" s="8"/>
      <c r="S321" s="4"/>
    </row>
    <row r="322">
      <c r="C322" s="2"/>
      <c r="D322" s="6"/>
      <c r="E322" s="4"/>
      <c r="J322" s="6"/>
      <c r="M322" s="8"/>
      <c r="S322" s="4"/>
    </row>
    <row r="323">
      <c r="C323" s="2"/>
      <c r="D323" s="6"/>
      <c r="E323" s="4"/>
      <c r="J323" s="6"/>
      <c r="M323" s="8"/>
      <c r="S323" s="4"/>
    </row>
    <row r="324">
      <c r="C324" s="2"/>
      <c r="D324" s="6"/>
      <c r="E324" s="4"/>
      <c r="J324" s="6"/>
      <c r="M324" s="8"/>
      <c r="S324" s="4"/>
    </row>
    <row r="325">
      <c r="C325" s="2"/>
      <c r="D325" s="6"/>
      <c r="E325" s="4"/>
      <c r="J325" s="6"/>
      <c r="M325" s="8"/>
      <c r="S325" s="4"/>
    </row>
    <row r="326">
      <c r="C326" s="2"/>
      <c r="D326" s="6"/>
      <c r="E326" s="4"/>
      <c r="J326" s="6"/>
      <c r="M326" s="8"/>
      <c r="S326" s="4"/>
    </row>
    <row r="327">
      <c r="C327" s="2"/>
      <c r="D327" s="6"/>
      <c r="E327" s="4"/>
      <c r="J327" s="6"/>
      <c r="M327" s="8"/>
      <c r="S327" s="4"/>
    </row>
    <row r="328">
      <c r="C328" s="2"/>
      <c r="D328" s="6"/>
      <c r="E328" s="4"/>
      <c r="J328" s="6"/>
      <c r="M328" s="8"/>
      <c r="S328" s="4"/>
    </row>
    <row r="329">
      <c r="C329" s="2"/>
      <c r="D329" s="6"/>
      <c r="E329" s="4"/>
      <c r="J329" s="6"/>
      <c r="M329" s="8"/>
      <c r="S329" s="4"/>
    </row>
    <row r="330">
      <c r="C330" s="2"/>
      <c r="D330" s="6"/>
      <c r="E330" s="4"/>
      <c r="J330" s="6"/>
      <c r="M330" s="8"/>
      <c r="S330" s="4"/>
    </row>
    <row r="331">
      <c r="C331" s="2"/>
      <c r="D331" s="6"/>
      <c r="E331" s="4"/>
      <c r="J331" s="6"/>
      <c r="M331" s="8"/>
      <c r="S331" s="4"/>
    </row>
    <row r="332">
      <c r="C332" s="2"/>
      <c r="D332" s="6"/>
      <c r="E332" s="4"/>
      <c r="J332" s="6"/>
      <c r="M332" s="8"/>
      <c r="S332" s="4"/>
    </row>
    <row r="333">
      <c r="C333" s="2"/>
      <c r="D333" s="6"/>
      <c r="E333" s="4"/>
      <c r="J333" s="6"/>
      <c r="M333" s="8"/>
      <c r="S333" s="4"/>
    </row>
    <row r="334">
      <c r="C334" s="2"/>
      <c r="D334" s="6"/>
      <c r="E334" s="4"/>
      <c r="J334" s="6"/>
      <c r="M334" s="8"/>
      <c r="S334" s="4"/>
    </row>
    <row r="335">
      <c r="C335" s="2"/>
      <c r="D335" s="6"/>
      <c r="E335" s="4"/>
      <c r="J335" s="6"/>
      <c r="M335" s="8"/>
      <c r="S335" s="4"/>
    </row>
    <row r="336">
      <c r="C336" s="2"/>
      <c r="D336" s="6"/>
      <c r="E336" s="4"/>
      <c r="J336" s="6"/>
      <c r="M336" s="8"/>
      <c r="S336" s="4"/>
    </row>
    <row r="337">
      <c r="C337" s="2"/>
      <c r="D337" s="6"/>
      <c r="E337" s="4"/>
      <c r="J337" s="6"/>
      <c r="M337" s="8"/>
      <c r="S337" s="4"/>
    </row>
    <row r="338">
      <c r="C338" s="2"/>
      <c r="D338" s="6"/>
      <c r="E338" s="4"/>
      <c r="J338" s="6"/>
      <c r="M338" s="8"/>
      <c r="S338" s="4"/>
    </row>
    <row r="339">
      <c r="C339" s="2"/>
      <c r="D339" s="6"/>
      <c r="E339" s="4"/>
      <c r="J339" s="6"/>
      <c r="M339" s="8"/>
      <c r="S339" s="4"/>
    </row>
    <row r="340">
      <c r="C340" s="2"/>
      <c r="D340" s="6"/>
      <c r="E340" s="4"/>
      <c r="J340" s="6"/>
      <c r="M340" s="8"/>
      <c r="S340" s="4"/>
    </row>
    <row r="341">
      <c r="C341" s="2"/>
      <c r="D341" s="6"/>
      <c r="E341" s="4"/>
      <c r="J341" s="6"/>
      <c r="M341" s="8"/>
      <c r="S341" s="4"/>
    </row>
    <row r="342">
      <c r="C342" s="2"/>
      <c r="D342" s="6"/>
      <c r="E342" s="4"/>
      <c r="J342" s="6"/>
      <c r="M342" s="8"/>
      <c r="S342" s="4"/>
    </row>
    <row r="343">
      <c r="C343" s="2"/>
      <c r="D343" s="6"/>
      <c r="E343" s="4"/>
      <c r="J343" s="6"/>
      <c r="M343" s="8"/>
      <c r="S343" s="4"/>
    </row>
    <row r="344">
      <c r="C344" s="2"/>
      <c r="D344" s="6"/>
      <c r="E344" s="4"/>
      <c r="J344" s="6"/>
      <c r="M344" s="8"/>
      <c r="S344" s="4"/>
    </row>
    <row r="345">
      <c r="C345" s="2"/>
      <c r="D345" s="6"/>
      <c r="E345" s="4"/>
      <c r="J345" s="6"/>
      <c r="M345" s="8"/>
      <c r="S345" s="4"/>
    </row>
    <row r="346">
      <c r="C346" s="2"/>
      <c r="D346" s="6"/>
      <c r="E346" s="4"/>
      <c r="J346" s="6"/>
      <c r="M346" s="8"/>
      <c r="S346" s="4"/>
    </row>
    <row r="347">
      <c r="C347" s="2"/>
      <c r="D347" s="6"/>
      <c r="E347" s="4"/>
      <c r="J347" s="6"/>
      <c r="M347" s="8"/>
      <c r="S347" s="4"/>
    </row>
    <row r="348">
      <c r="C348" s="2"/>
      <c r="D348" s="6"/>
      <c r="E348" s="4"/>
      <c r="J348" s="6"/>
      <c r="M348" s="8"/>
      <c r="S348" s="4"/>
    </row>
    <row r="349">
      <c r="C349" s="2"/>
      <c r="D349" s="6"/>
      <c r="E349" s="4"/>
      <c r="J349" s="6"/>
      <c r="M349" s="8"/>
      <c r="S349" s="4"/>
    </row>
    <row r="350">
      <c r="C350" s="2"/>
      <c r="D350" s="6"/>
      <c r="E350" s="4"/>
      <c r="J350" s="6"/>
      <c r="M350" s="8"/>
      <c r="S350" s="4"/>
    </row>
    <row r="351">
      <c r="C351" s="2"/>
      <c r="D351" s="6"/>
      <c r="E351" s="4"/>
      <c r="J351" s="6"/>
      <c r="M351" s="8"/>
      <c r="S351" s="4"/>
    </row>
    <row r="352">
      <c r="C352" s="2"/>
      <c r="D352" s="6"/>
      <c r="E352" s="4"/>
      <c r="J352" s="6"/>
      <c r="M352" s="8"/>
      <c r="S352" s="4"/>
    </row>
    <row r="353">
      <c r="C353" s="2"/>
      <c r="D353" s="6"/>
      <c r="E353" s="4"/>
      <c r="J353" s="6"/>
      <c r="M353" s="8"/>
      <c r="S353" s="4"/>
    </row>
    <row r="354">
      <c r="C354" s="2"/>
      <c r="D354" s="6"/>
      <c r="E354" s="4"/>
      <c r="J354" s="6"/>
      <c r="M354" s="8"/>
      <c r="S354" s="4"/>
    </row>
    <row r="355">
      <c r="C355" s="2"/>
      <c r="D355" s="6"/>
      <c r="E355" s="4"/>
      <c r="J355" s="6"/>
      <c r="M355" s="8"/>
      <c r="S355" s="4"/>
    </row>
    <row r="356">
      <c r="C356" s="2"/>
      <c r="D356" s="6"/>
      <c r="E356" s="4"/>
      <c r="J356" s="6"/>
      <c r="M356" s="8"/>
      <c r="S356" s="4"/>
    </row>
    <row r="357">
      <c r="C357" s="2"/>
      <c r="D357" s="6"/>
      <c r="E357" s="4"/>
      <c r="J357" s="6"/>
      <c r="M357" s="8"/>
      <c r="S357" s="4"/>
    </row>
    <row r="358">
      <c r="C358" s="2"/>
      <c r="D358" s="6"/>
      <c r="E358" s="4"/>
      <c r="J358" s="6"/>
      <c r="M358" s="8"/>
      <c r="S358" s="4"/>
    </row>
    <row r="359">
      <c r="C359" s="2"/>
      <c r="D359" s="6"/>
      <c r="E359" s="4"/>
      <c r="J359" s="6"/>
      <c r="M359" s="8"/>
      <c r="S359" s="4"/>
    </row>
    <row r="360">
      <c r="C360" s="2"/>
      <c r="D360" s="6"/>
      <c r="E360" s="4"/>
      <c r="J360" s="6"/>
      <c r="M360" s="8"/>
      <c r="S360" s="4"/>
    </row>
    <row r="361">
      <c r="C361" s="2"/>
      <c r="D361" s="6"/>
      <c r="E361" s="4"/>
      <c r="J361" s="6"/>
      <c r="M361" s="8"/>
      <c r="S361" s="4"/>
    </row>
    <row r="362">
      <c r="C362" s="2"/>
      <c r="D362" s="6"/>
      <c r="E362" s="4"/>
      <c r="J362" s="6"/>
      <c r="M362" s="8"/>
      <c r="S362" s="4"/>
    </row>
    <row r="363">
      <c r="C363" s="2"/>
      <c r="D363" s="6"/>
      <c r="E363" s="4"/>
      <c r="J363" s="6"/>
      <c r="M363" s="8"/>
      <c r="S363" s="4"/>
    </row>
    <row r="364">
      <c r="C364" s="2"/>
      <c r="D364" s="6"/>
      <c r="E364" s="4"/>
      <c r="J364" s="6"/>
      <c r="M364" s="8"/>
      <c r="S364" s="4"/>
    </row>
    <row r="365">
      <c r="C365" s="2"/>
      <c r="D365" s="6"/>
      <c r="E365" s="4"/>
      <c r="J365" s="6"/>
      <c r="M365" s="8"/>
      <c r="S365" s="4"/>
    </row>
    <row r="366">
      <c r="C366" s="2"/>
      <c r="D366" s="6"/>
      <c r="E366" s="4"/>
      <c r="J366" s="6"/>
      <c r="M366" s="8"/>
      <c r="S366" s="4"/>
    </row>
    <row r="367">
      <c r="C367" s="2"/>
      <c r="D367" s="6"/>
      <c r="E367" s="4"/>
      <c r="J367" s="6"/>
      <c r="M367" s="8"/>
      <c r="S367" s="4"/>
    </row>
    <row r="368">
      <c r="C368" s="2"/>
      <c r="D368" s="6"/>
      <c r="E368" s="4"/>
      <c r="J368" s="6"/>
      <c r="M368" s="8"/>
      <c r="S368" s="4"/>
    </row>
    <row r="369">
      <c r="C369" s="2"/>
      <c r="D369" s="6"/>
      <c r="E369" s="4"/>
      <c r="J369" s="6"/>
      <c r="M369" s="8"/>
      <c r="S369" s="4"/>
    </row>
    <row r="370">
      <c r="C370" s="2"/>
      <c r="D370" s="6"/>
      <c r="E370" s="4"/>
      <c r="J370" s="6"/>
      <c r="M370" s="8"/>
      <c r="S370" s="4"/>
    </row>
    <row r="371">
      <c r="C371" s="2"/>
      <c r="D371" s="6"/>
      <c r="E371" s="4"/>
      <c r="J371" s="6"/>
      <c r="M371" s="8"/>
      <c r="S371" s="4"/>
    </row>
    <row r="372">
      <c r="C372" s="2"/>
      <c r="D372" s="6"/>
      <c r="E372" s="4"/>
      <c r="J372" s="6"/>
      <c r="M372" s="8"/>
      <c r="S372" s="4"/>
    </row>
    <row r="373">
      <c r="C373" s="2"/>
      <c r="D373" s="6"/>
      <c r="E373" s="4"/>
      <c r="J373" s="6"/>
      <c r="M373" s="8"/>
      <c r="S373" s="4"/>
    </row>
    <row r="374">
      <c r="C374" s="2"/>
      <c r="D374" s="6"/>
      <c r="E374" s="4"/>
      <c r="J374" s="6"/>
      <c r="M374" s="8"/>
      <c r="S374" s="4"/>
    </row>
    <row r="375">
      <c r="C375" s="2"/>
      <c r="D375" s="6"/>
      <c r="E375" s="4"/>
      <c r="J375" s="6"/>
      <c r="M375" s="8"/>
      <c r="S375" s="4"/>
    </row>
    <row r="376">
      <c r="C376" s="2"/>
      <c r="D376" s="6"/>
      <c r="E376" s="4"/>
      <c r="J376" s="6"/>
      <c r="M376" s="8"/>
      <c r="S376" s="4"/>
    </row>
    <row r="377">
      <c r="C377" s="2"/>
      <c r="D377" s="6"/>
      <c r="E377" s="4"/>
      <c r="J377" s="6"/>
      <c r="M377" s="8"/>
      <c r="S377" s="4"/>
    </row>
    <row r="378">
      <c r="C378" s="2"/>
      <c r="D378" s="6"/>
      <c r="E378" s="4"/>
      <c r="J378" s="6"/>
      <c r="M378" s="8"/>
      <c r="S378" s="4"/>
    </row>
    <row r="379">
      <c r="C379" s="2"/>
      <c r="D379" s="6"/>
      <c r="E379" s="4"/>
      <c r="J379" s="6"/>
      <c r="M379" s="8"/>
      <c r="S379" s="4"/>
    </row>
    <row r="380">
      <c r="C380" s="2"/>
      <c r="D380" s="6"/>
      <c r="E380" s="4"/>
      <c r="J380" s="6"/>
      <c r="M380" s="8"/>
      <c r="S380" s="4"/>
    </row>
    <row r="381">
      <c r="C381" s="2"/>
      <c r="D381" s="6"/>
      <c r="E381" s="4"/>
      <c r="J381" s="6"/>
      <c r="M381" s="8"/>
      <c r="S381" s="4"/>
    </row>
    <row r="382">
      <c r="C382" s="2"/>
      <c r="D382" s="6"/>
      <c r="E382" s="4"/>
      <c r="J382" s="6"/>
      <c r="M382" s="8"/>
      <c r="S382" s="4"/>
    </row>
    <row r="383">
      <c r="C383" s="2"/>
      <c r="D383" s="6"/>
      <c r="E383" s="4"/>
      <c r="J383" s="6"/>
      <c r="M383" s="8"/>
      <c r="S383" s="4"/>
    </row>
    <row r="384">
      <c r="C384" s="2"/>
      <c r="D384" s="6"/>
      <c r="E384" s="4"/>
      <c r="J384" s="6"/>
      <c r="M384" s="8"/>
      <c r="S384" s="4"/>
    </row>
    <row r="385">
      <c r="C385" s="2"/>
      <c r="D385" s="6"/>
      <c r="E385" s="4"/>
      <c r="J385" s="6"/>
      <c r="M385" s="8"/>
      <c r="S385" s="4"/>
    </row>
    <row r="386">
      <c r="C386" s="2"/>
      <c r="D386" s="6"/>
      <c r="E386" s="4"/>
      <c r="J386" s="6"/>
      <c r="M386" s="8"/>
      <c r="S386" s="4"/>
    </row>
    <row r="387">
      <c r="C387" s="2"/>
      <c r="D387" s="6"/>
      <c r="E387" s="4"/>
      <c r="J387" s="6"/>
      <c r="M387" s="8"/>
      <c r="S387" s="4"/>
    </row>
    <row r="388">
      <c r="C388" s="2"/>
      <c r="D388" s="6"/>
      <c r="E388" s="4"/>
      <c r="J388" s="6"/>
      <c r="M388" s="8"/>
      <c r="S388" s="4"/>
    </row>
    <row r="389">
      <c r="C389" s="2"/>
      <c r="D389" s="6"/>
      <c r="E389" s="4"/>
      <c r="J389" s="6"/>
      <c r="M389" s="8"/>
      <c r="S389" s="4"/>
    </row>
    <row r="390">
      <c r="C390" s="2"/>
      <c r="D390" s="6"/>
      <c r="E390" s="4"/>
      <c r="J390" s="6"/>
      <c r="M390" s="8"/>
      <c r="S390" s="4"/>
    </row>
    <row r="391">
      <c r="C391" s="2"/>
      <c r="D391" s="6"/>
      <c r="E391" s="4"/>
      <c r="J391" s="6"/>
      <c r="M391" s="8"/>
      <c r="S391" s="4"/>
    </row>
    <row r="392">
      <c r="C392" s="2"/>
      <c r="D392" s="6"/>
      <c r="E392" s="4"/>
      <c r="J392" s="6"/>
      <c r="M392" s="8"/>
      <c r="S392" s="4"/>
    </row>
    <row r="393">
      <c r="C393" s="2"/>
      <c r="D393" s="6"/>
      <c r="E393" s="4"/>
      <c r="J393" s="6"/>
      <c r="M393" s="8"/>
      <c r="S393" s="4"/>
    </row>
    <row r="394">
      <c r="C394" s="2"/>
      <c r="D394" s="6"/>
      <c r="E394" s="4"/>
      <c r="J394" s="6"/>
      <c r="M394" s="8"/>
      <c r="S394" s="4"/>
    </row>
    <row r="395">
      <c r="C395" s="2"/>
      <c r="D395" s="6"/>
      <c r="E395" s="4"/>
      <c r="J395" s="6"/>
      <c r="M395" s="8"/>
      <c r="S395" s="4"/>
    </row>
    <row r="396">
      <c r="C396" s="2"/>
      <c r="D396" s="6"/>
      <c r="E396" s="4"/>
      <c r="J396" s="6"/>
      <c r="M396" s="8"/>
      <c r="S396" s="4"/>
    </row>
    <row r="397">
      <c r="C397" s="2"/>
      <c r="D397" s="6"/>
      <c r="E397" s="4"/>
      <c r="J397" s="6"/>
      <c r="M397" s="8"/>
      <c r="S397" s="4"/>
    </row>
    <row r="398">
      <c r="C398" s="2"/>
      <c r="D398" s="6"/>
      <c r="E398" s="4"/>
      <c r="J398" s="6"/>
      <c r="M398" s="8"/>
      <c r="S398" s="4"/>
    </row>
    <row r="399">
      <c r="C399" s="2"/>
      <c r="D399" s="6"/>
      <c r="E399" s="4"/>
      <c r="J399" s="6"/>
      <c r="M399" s="8"/>
      <c r="S399" s="4"/>
    </row>
    <row r="400">
      <c r="C400" s="2"/>
      <c r="D400" s="6"/>
      <c r="E400" s="4"/>
      <c r="J400" s="6"/>
      <c r="M400" s="8"/>
      <c r="S400" s="4"/>
    </row>
    <row r="401">
      <c r="C401" s="2"/>
      <c r="D401" s="6"/>
      <c r="E401" s="4"/>
      <c r="J401" s="6"/>
      <c r="M401" s="8"/>
      <c r="S401" s="4"/>
    </row>
    <row r="402">
      <c r="C402" s="2"/>
      <c r="D402" s="6"/>
      <c r="E402" s="4"/>
      <c r="J402" s="6"/>
      <c r="M402" s="8"/>
      <c r="S402" s="4"/>
    </row>
    <row r="403">
      <c r="C403" s="2"/>
      <c r="D403" s="6"/>
      <c r="E403" s="4"/>
      <c r="J403" s="6"/>
      <c r="M403" s="8"/>
      <c r="S403" s="4"/>
    </row>
    <row r="404">
      <c r="C404" s="2"/>
      <c r="D404" s="6"/>
      <c r="E404" s="4"/>
      <c r="J404" s="6"/>
      <c r="M404" s="8"/>
      <c r="S404" s="4"/>
    </row>
    <row r="405">
      <c r="C405" s="2"/>
      <c r="D405" s="6"/>
      <c r="E405" s="4"/>
      <c r="J405" s="6"/>
      <c r="M405" s="8"/>
      <c r="S405" s="4"/>
    </row>
    <row r="406">
      <c r="C406" s="2"/>
      <c r="D406" s="6"/>
      <c r="E406" s="4"/>
      <c r="J406" s="6"/>
      <c r="M406" s="8"/>
      <c r="S406" s="4"/>
    </row>
    <row r="407">
      <c r="C407" s="2"/>
      <c r="D407" s="6"/>
      <c r="E407" s="4"/>
      <c r="J407" s="6"/>
      <c r="M407" s="8"/>
      <c r="S407" s="4"/>
    </row>
    <row r="408">
      <c r="C408" s="2"/>
      <c r="D408" s="6"/>
      <c r="E408" s="4"/>
      <c r="J408" s="6"/>
      <c r="M408" s="8"/>
      <c r="S408" s="4"/>
    </row>
    <row r="409">
      <c r="C409" s="2"/>
      <c r="D409" s="6"/>
      <c r="E409" s="4"/>
      <c r="J409" s="6"/>
      <c r="M409" s="8"/>
      <c r="S409" s="4"/>
    </row>
    <row r="410">
      <c r="C410" s="2"/>
      <c r="D410" s="6"/>
      <c r="E410" s="4"/>
      <c r="J410" s="6"/>
      <c r="M410" s="8"/>
      <c r="S410" s="4"/>
    </row>
    <row r="411">
      <c r="C411" s="2"/>
      <c r="D411" s="6"/>
      <c r="E411" s="4"/>
      <c r="J411" s="6"/>
      <c r="M411" s="8"/>
      <c r="S411" s="4"/>
    </row>
    <row r="412">
      <c r="C412" s="2"/>
      <c r="D412" s="6"/>
      <c r="E412" s="4"/>
      <c r="J412" s="6"/>
      <c r="M412" s="8"/>
      <c r="S412" s="4"/>
    </row>
    <row r="413">
      <c r="C413" s="2"/>
      <c r="D413" s="6"/>
      <c r="E413" s="4"/>
      <c r="J413" s="6"/>
      <c r="M413" s="8"/>
      <c r="S413" s="4"/>
    </row>
    <row r="414">
      <c r="C414" s="2"/>
      <c r="D414" s="6"/>
      <c r="E414" s="4"/>
      <c r="J414" s="6"/>
      <c r="M414" s="8"/>
      <c r="S414" s="4"/>
    </row>
    <row r="415">
      <c r="C415" s="2"/>
      <c r="D415" s="6"/>
      <c r="E415" s="4"/>
      <c r="J415" s="6"/>
      <c r="M415" s="8"/>
      <c r="S415" s="4"/>
    </row>
    <row r="416">
      <c r="C416" s="2"/>
      <c r="D416" s="6"/>
      <c r="E416" s="4"/>
      <c r="J416" s="6"/>
      <c r="M416" s="8"/>
      <c r="S416" s="4"/>
    </row>
    <row r="417">
      <c r="C417" s="2"/>
      <c r="D417" s="6"/>
      <c r="E417" s="4"/>
      <c r="J417" s="6"/>
      <c r="M417" s="8"/>
      <c r="S417" s="4"/>
    </row>
    <row r="418">
      <c r="C418" s="2"/>
      <c r="D418" s="6"/>
      <c r="E418" s="4"/>
      <c r="J418" s="6"/>
      <c r="M418" s="8"/>
      <c r="S418" s="4"/>
    </row>
    <row r="419">
      <c r="C419" s="2"/>
      <c r="D419" s="6"/>
      <c r="E419" s="4"/>
      <c r="J419" s="6"/>
      <c r="M419" s="8"/>
      <c r="S419" s="4"/>
    </row>
    <row r="420">
      <c r="C420" s="2"/>
      <c r="D420" s="6"/>
      <c r="E420" s="4"/>
      <c r="J420" s="6"/>
      <c r="M420" s="8"/>
      <c r="S420" s="4"/>
    </row>
    <row r="421">
      <c r="C421" s="2"/>
      <c r="D421" s="6"/>
      <c r="E421" s="4"/>
      <c r="J421" s="6"/>
      <c r="M421" s="8"/>
      <c r="S421" s="4"/>
    </row>
    <row r="422">
      <c r="C422" s="2"/>
      <c r="D422" s="6"/>
      <c r="E422" s="4"/>
      <c r="J422" s="6"/>
      <c r="M422" s="8"/>
      <c r="S422" s="4"/>
    </row>
    <row r="423">
      <c r="C423" s="2"/>
      <c r="D423" s="6"/>
      <c r="E423" s="4"/>
      <c r="J423" s="6"/>
      <c r="M423" s="8"/>
      <c r="S423" s="4"/>
    </row>
    <row r="424">
      <c r="C424" s="2"/>
      <c r="D424" s="6"/>
      <c r="E424" s="4"/>
      <c r="J424" s="6"/>
      <c r="M424" s="8"/>
      <c r="S424" s="4"/>
    </row>
    <row r="425">
      <c r="C425" s="2"/>
      <c r="D425" s="6"/>
      <c r="E425" s="4"/>
      <c r="J425" s="6"/>
      <c r="M425" s="8"/>
      <c r="S425" s="4"/>
    </row>
    <row r="426">
      <c r="C426" s="2"/>
      <c r="D426" s="6"/>
      <c r="E426" s="4"/>
      <c r="J426" s="6"/>
      <c r="M426" s="8"/>
      <c r="S426" s="4"/>
    </row>
    <row r="427">
      <c r="C427" s="2"/>
      <c r="D427" s="6"/>
      <c r="E427" s="4"/>
      <c r="J427" s="6"/>
      <c r="M427" s="8"/>
      <c r="S427" s="4"/>
    </row>
    <row r="428">
      <c r="C428" s="2"/>
      <c r="D428" s="6"/>
      <c r="E428" s="4"/>
      <c r="J428" s="6"/>
      <c r="M428" s="8"/>
      <c r="S428" s="4"/>
    </row>
    <row r="429">
      <c r="C429" s="2"/>
      <c r="D429" s="6"/>
      <c r="E429" s="4"/>
      <c r="J429" s="6"/>
      <c r="M429" s="8"/>
      <c r="S429" s="4"/>
    </row>
    <row r="430">
      <c r="C430" s="2"/>
      <c r="D430" s="6"/>
      <c r="E430" s="4"/>
      <c r="J430" s="6"/>
      <c r="M430" s="8"/>
      <c r="S430" s="4"/>
    </row>
    <row r="431">
      <c r="C431" s="2"/>
      <c r="D431" s="6"/>
      <c r="E431" s="4"/>
      <c r="J431" s="6"/>
      <c r="M431" s="8"/>
      <c r="S431" s="4"/>
    </row>
    <row r="432">
      <c r="C432" s="2"/>
      <c r="D432" s="6"/>
      <c r="E432" s="4"/>
      <c r="J432" s="6"/>
      <c r="M432" s="8"/>
      <c r="S432" s="4"/>
    </row>
    <row r="433">
      <c r="C433" s="2"/>
      <c r="D433" s="6"/>
      <c r="E433" s="4"/>
      <c r="J433" s="6"/>
      <c r="M433" s="8"/>
      <c r="S433" s="4"/>
    </row>
    <row r="434">
      <c r="C434" s="2"/>
      <c r="D434" s="6"/>
      <c r="E434" s="4"/>
      <c r="J434" s="6"/>
      <c r="M434" s="8"/>
      <c r="S434" s="4"/>
    </row>
    <row r="435">
      <c r="C435" s="2"/>
      <c r="D435" s="6"/>
      <c r="E435" s="4"/>
      <c r="J435" s="6"/>
      <c r="M435" s="8"/>
      <c r="S435" s="4"/>
    </row>
    <row r="436">
      <c r="C436" s="2"/>
      <c r="D436" s="6"/>
      <c r="E436" s="4"/>
      <c r="J436" s="6"/>
      <c r="M436" s="8"/>
      <c r="S436" s="4"/>
    </row>
    <row r="437">
      <c r="C437" s="2"/>
      <c r="D437" s="6"/>
      <c r="E437" s="4"/>
      <c r="J437" s="6"/>
      <c r="M437" s="8"/>
      <c r="S437" s="4"/>
    </row>
    <row r="438">
      <c r="C438" s="2"/>
      <c r="D438" s="6"/>
      <c r="E438" s="4"/>
      <c r="J438" s="6"/>
      <c r="M438" s="8"/>
      <c r="S438" s="4"/>
    </row>
    <row r="439">
      <c r="C439" s="2"/>
      <c r="D439" s="6"/>
      <c r="E439" s="4"/>
      <c r="J439" s="6"/>
      <c r="M439" s="8"/>
      <c r="S439" s="4"/>
    </row>
    <row r="440">
      <c r="C440" s="2"/>
      <c r="D440" s="6"/>
      <c r="E440" s="4"/>
      <c r="J440" s="6"/>
      <c r="M440" s="8"/>
      <c r="S440" s="4"/>
    </row>
    <row r="441">
      <c r="C441" s="2"/>
      <c r="D441" s="6"/>
      <c r="E441" s="4"/>
      <c r="J441" s="6"/>
      <c r="M441" s="8"/>
      <c r="S441" s="4"/>
    </row>
    <row r="442">
      <c r="C442" s="2"/>
      <c r="D442" s="6"/>
      <c r="E442" s="4"/>
      <c r="J442" s="6"/>
      <c r="M442" s="8"/>
      <c r="S442" s="4"/>
    </row>
    <row r="443">
      <c r="C443" s="2"/>
      <c r="D443" s="6"/>
      <c r="E443" s="4"/>
      <c r="J443" s="6"/>
      <c r="M443" s="8"/>
      <c r="S443" s="4"/>
    </row>
    <row r="444">
      <c r="C444" s="2"/>
      <c r="D444" s="6"/>
      <c r="E444" s="4"/>
      <c r="J444" s="6"/>
      <c r="M444" s="8"/>
      <c r="S444" s="4"/>
    </row>
    <row r="445">
      <c r="C445" s="2"/>
      <c r="D445" s="6"/>
      <c r="E445" s="4"/>
      <c r="J445" s="6"/>
      <c r="M445" s="8"/>
      <c r="S445" s="4"/>
    </row>
    <row r="446">
      <c r="C446" s="2"/>
      <c r="D446" s="6"/>
      <c r="E446" s="4"/>
      <c r="J446" s="6"/>
      <c r="M446" s="8"/>
      <c r="S446" s="4"/>
    </row>
    <row r="447">
      <c r="C447" s="2"/>
      <c r="D447" s="6"/>
      <c r="E447" s="4"/>
      <c r="J447" s="6"/>
      <c r="M447" s="8"/>
      <c r="S447" s="4"/>
    </row>
    <row r="448">
      <c r="C448" s="2"/>
      <c r="D448" s="6"/>
      <c r="E448" s="4"/>
      <c r="J448" s="6"/>
      <c r="M448" s="8"/>
      <c r="S448" s="4"/>
    </row>
    <row r="449">
      <c r="C449" s="2"/>
      <c r="D449" s="6"/>
      <c r="E449" s="4"/>
      <c r="J449" s="6"/>
      <c r="M449" s="8"/>
      <c r="S449" s="4"/>
    </row>
    <row r="450">
      <c r="C450" s="2"/>
      <c r="D450" s="6"/>
      <c r="E450" s="4"/>
      <c r="J450" s="6"/>
      <c r="M450" s="8"/>
      <c r="S450" s="4"/>
    </row>
    <row r="451">
      <c r="C451" s="2"/>
      <c r="D451" s="6"/>
      <c r="E451" s="4"/>
      <c r="J451" s="6"/>
      <c r="M451" s="8"/>
      <c r="S451" s="4"/>
    </row>
    <row r="452">
      <c r="C452" s="2"/>
      <c r="D452" s="6"/>
      <c r="E452" s="4"/>
      <c r="J452" s="6"/>
      <c r="M452" s="8"/>
      <c r="S452" s="4"/>
    </row>
    <row r="453">
      <c r="C453" s="2"/>
      <c r="D453" s="6"/>
      <c r="E453" s="4"/>
      <c r="J453" s="6"/>
      <c r="M453" s="8"/>
      <c r="S453" s="4"/>
    </row>
    <row r="454">
      <c r="C454" s="2"/>
      <c r="D454" s="6"/>
      <c r="E454" s="4"/>
      <c r="J454" s="6"/>
      <c r="M454" s="8"/>
      <c r="S454" s="4"/>
    </row>
    <row r="455">
      <c r="C455" s="2"/>
      <c r="D455" s="6"/>
      <c r="E455" s="4"/>
      <c r="J455" s="6"/>
      <c r="M455" s="8"/>
      <c r="S455" s="4"/>
    </row>
    <row r="456">
      <c r="C456" s="2"/>
      <c r="D456" s="6"/>
      <c r="E456" s="4"/>
      <c r="J456" s="6"/>
      <c r="M456" s="8"/>
      <c r="S456" s="4"/>
    </row>
    <row r="457">
      <c r="C457" s="2"/>
      <c r="D457" s="6"/>
      <c r="E457" s="4"/>
      <c r="J457" s="6"/>
      <c r="M457" s="8"/>
      <c r="S457" s="4"/>
    </row>
    <row r="458">
      <c r="C458" s="2"/>
      <c r="D458" s="6"/>
      <c r="E458" s="4"/>
      <c r="J458" s="6"/>
      <c r="M458" s="8"/>
      <c r="S458" s="4"/>
    </row>
    <row r="459">
      <c r="C459" s="2"/>
      <c r="D459" s="6"/>
      <c r="E459" s="4"/>
      <c r="J459" s="6"/>
      <c r="M459" s="8"/>
      <c r="S459" s="4"/>
    </row>
    <row r="460">
      <c r="C460" s="2"/>
      <c r="D460" s="6"/>
      <c r="E460" s="4"/>
      <c r="J460" s="6"/>
      <c r="M460" s="8"/>
      <c r="S460" s="4"/>
    </row>
    <row r="461">
      <c r="C461" s="2"/>
      <c r="D461" s="6"/>
      <c r="E461" s="4"/>
      <c r="J461" s="6"/>
      <c r="M461" s="8"/>
      <c r="S461" s="4"/>
    </row>
    <row r="462">
      <c r="C462" s="2"/>
      <c r="D462" s="6"/>
      <c r="E462" s="4"/>
      <c r="J462" s="6"/>
      <c r="M462" s="8"/>
      <c r="S462" s="4"/>
    </row>
    <row r="463">
      <c r="C463" s="2"/>
      <c r="D463" s="6"/>
      <c r="E463" s="4"/>
      <c r="J463" s="6"/>
      <c r="M463" s="8"/>
      <c r="S463" s="4"/>
    </row>
    <row r="464">
      <c r="C464" s="2"/>
      <c r="D464" s="6"/>
      <c r="E464" s="4"/>
      <c r="J464" s="6"/>
      <c r="M464" s="8"/>
      <c r="S464" s="4"/>
    </row>
    <row r="465">
      <c r="C465" s="2"/>
      <c r="D465" s="6"/>
      <c r="E465" s="4"/>
      <c r="J465" s="6"/>
      <c r="M465" s="8"/>
      <c r="S465" s="4"/>
    </row>
    <row r="466">
      <c r="C466" s="2"/>
      <c r="D466" s="6"/>
      <c r="E466" s="4"/>
      <c r="J466" s="6"/>
      <c r="M466" s="8"/>
      <c r="S466" s="4"/>
    </row>
    <row r="467">
      <c r="C467" s="2"/>
      <c r="D467" s="6"/>
      <c r="E467" s="4"/>
      <c r="J467" s="6"/>
      <c r="M467" s="8"/>
      <c r="S467" s="4"/>
    </row>
    <row r="468">
      <c r="C468" s="2"/>
      <c r="D468" s="6"/>
      <c r="E468" s="4"/>
      <c r="J468" s="6"/>
      <c r="M468" s="8"/>
      <c r="S468" s="4"/>
    </row>
    <row r="469">
      <c r="C469" s="2"/>
      <c r="D469" s="6"/>
      <c r="E469" s="4"/>
      <c r="J469" s="6"/>
      <c r="M469" s="8"/>
      <c r="S469" s="4"/>
    </row>
    <row r="470">
      <c r="C470" s="2"/>
      <c r="D470" s="6"/>
      <c r="E470" s="4"/>
      <c r="J470" s="6"/>
      <c r="M470" s="8"/>
      <c r="S470" s="4"/>
    </row>
    <row r="471">
      <c r="C471" s="2"/>
      <c r="D471" s="6"/>
      <c r="E471" s="4"/>
      <c r="J471" s="6"/>
      <c r="M471" s="8"/>
      <c r="S471" s="4"/>
    </row>
    <row r="472">
      <c r="C472" s="2"/>
      <c r="D472" s="6"/>
      <c r="E472" s="4"/>
      <c r="J472" s="6"/>
      <c r="M472" s="8"/>
      <c r="S472" s="4"/>
    </row>
    <row r="473">
      <c r="C473" s="2"/>
      <c r="D473" s="6"/>
      <c r="E473" s="4"/>
      <c r="J473" s="6"/>
      <c r="M473" s="8"/>
      <c r="S473" s="4"/>
    </row>
    <row r="474">
      <c r="C474" s="2"/>
      <c r="D474" s="6"/>
      <c r="E474" s="4"/>
      <c r="J474" s="6"/>
      <c r="M474" s="8"/>
      <c r="S474" s="4"/>
    </row>
    <row r="475">
      <c r="C475" s="2"/>
      <c r="D475" s="6"/>
      <c r="E475" s="4"/>
      <c r="J475" s="6"/>
      <c r="M475" s="8"/>
      <c r="S475" s="4"/>
    </row>
    <row r="476">
      <c r="C476" s="2"/>
      <c r="D476" s="6"/>
      <c r="E476" s="4"/>
      <c r="J476" s="6"/>
      <c r="M476" s="8"/>
      <c r="S476" s="4"/>
    </row>
    <row r="477">
      <c r="C477" s="2"/>
      <c r="D477" s="6"/>
      <c r="E477" s="4"/>
      <c r="J477" s="6"/>
      <c r="M477" s="8"/>
      <c r="S477" s="4"/>
    </row>
    <row r="478">
      <c r="C478" s="2"/>
      <c r="D478" s="6"/>
      <c r="E478" s="4"/>
      <c r="J478" s="6"/>
      <c r="M478" s="8"/>
      <c r="S478" s="4"/>
    </row>
    <row r="479">
      <c r="C479" s="2"/>
      <c r="D479" s="6"/>
      <c r="E479" s="4"/>
      <c r="J479" s="6"/>
      <c r="M479" s="8"/>
      <c r="S479" s="4"/>
    </row>
    <row r="480">
      <c r="C480" s="2"/>
      <c r="D480" s="6"/>
      <c r="E480" s="4"/>
      <c r="J480" s="6"/>
      <c r="M480" s="8"/>
      <c r="S480" s="4"/>
    </row>
    <row r="481">
      <c r="C481" s="2"/>
      <c r="D481" s="6"/>
      <c r="E481" s="4"/>
      <c r="J481" s="6"/>
      <c r="M481" s="8"/>
      <c r="S481" s="4"/>
    </row>
    <row r="482">
      <c r="C482" s="2"/>
      <c r="D482" s="6"/>
      <c r="E482" s="4"/>
      <c r="J482" s="6"/>
      <c r="M482" s="8"/>
      <c r="S482" s="4"/>
    </row>
    <row r="483">
      <c r="C483" s="2"/>
      <c r="D483" s="6"/>
      <c r="E483" s="4"/>
      <c r="J483" s="6"/>
      <c r="M483" s="8"/>
      <c r="S483" s="4"/>
    </row>
    <row r="484">
      <c r="C484" s="2"/>
      <c r="D484" s="6"/>
      <c r="E484" s="4"/>
      <c r="J484" s="6"/>
      <c r="M484" s="8"/>
      <c r="S484" s="4"/>
    </row>
    <row r="485">
      <c r="C485" s="2"/>
      <c r="D485" s="6"/>
      <c r="E485" s="4"/>
      <c r="J485" s="6"/>
      <c r="M485" s="8"/>
      <c r="S485" s="4"/>
    </row>
    <row r="486">
      <c r="C486" s="2"/>
      <c r="D486" s="6"/>
      <c r="E486" s="4"/>
      <c r="J486" s="6"/>
      <c r="M486" s="8"/>
      <c r="S486" s="4"/>
    </row>
    <row r="487">
      <c r="C487" s="2"/>
      <c r="D487" s="6"/>
      <c r="E487" s="4"/>
      <c r="J487" s="6"/>
      <c r="M487" s="8"/>
      <c r="S487" s="4"/>
    </row>
    <row r="488">
      <c r="C488" s="2"/>
      <c r="D488" s="6"/>
      <c r="E488" s="4"/>
      <c r="J488" s="6"/>
      <c r="M488" s="8"/>
      <c r="S488" s="4"/>
    </row>
    <row r="489">
      <c r="C489" s="2"/>
      <c r="D489" s="6"/>
      <c r="E489" s="4"/>
      <c r="J489" s="6"/>
      <c r="M489" s="8"/>
      <c r="S489" s="4"/>
    </row>
    <row r="490">
      <c r="C490" s="2"/>
      <c r="D490" s="6"/>
      <c r="E490" s="4"/>
      <c r="J490" s="6"/>
      <c r="M490" s="8"/>
      <c r="S490" s="4"/>
    </row>
    <row r="491">
      <c r="C491" s="2"/>
      <c r="D491" s="6"/>
      <c r="E491" s="4"/>
      <c r="J491" s="6"/>
      <c r="M491" s="8"/>
      <c r="S491" s="4"/>
    </row>
    <row r="492">
      <c r="C492" s="2"/>
      <c r="D492" s="6"/>
      <c r="E492" s="4"/>
      <c r="J492" s="6"/>
      <c r="M492" s="8"/>
      <c r="S492" s="4"/>
    </row>
    <row r="493">
      <c r="C493" s="2"/>
      <c r="D493" s="6"/>
      <c r="E493" s="4"/>
      <c r="J493" s="6"/>
      <c r="M493" s="8"/>
      <c r="S493" s="4"/>
    </row>
    <row r="494">
      <c r="C494" s="2"/>
      <c r="D494" s="6"/>
      <c r="E494" s="4"/>
      <c r="J494" s="6"/>
      <c r="M494" s="8"/>
      <c r="S494" s="4"/>
    </row>
    <row r="495">
      <c r="C495" s="2"/>
      <c r="D495" s="6"/>
      <c r="E495" s="4"/>
      <c r="J495" s="6"/>
      <c r="M495" s="8"/>
      <c r="S495" s="4"/>
    </row>
    <row r="496">
      <c r="C496" s="2"/>
      <c r="D496" s="6"/>
      <c r="E496" s="4"/>
      <c r="J496" s="6"/>
      <c r="M496" s="8"/>
      <c r="S496" s="4"/>
    </row>
    <row r="497">
      <c r="C497" s="2"/>
      <c r="D497" s="6"/>
      <c r="E497" s="4"/>
      <c r="J497" s="6"/>
      <c r="M497" s="8"/>
      <c r="S497" s="4"/>
    </row>
    <row r="498">
      <c r="C498" s="2"/>
      <c r="D498" s="6"/>
      <c r="E498" s="4"/>
      <c r="J498" s="6"/>
      <c r="M498" s="8"/>
      <c r="S498" s="4"/>
    </row>
    <row r="499">
      <c r="C499" s="2"/>
      <c r="D499" s="6"/>
      <c r="E499" s="4"/>
      <c r="J499" s="6"/>
      <c r="M499" s="8"/>
      <c r="S499" s="4"/>
    </row>
    <row r="500">
      <c r="C500" s="2"/>
      <c r="D500" s="6"/>
      <c r="E500" s="4"/>
      <c r="J500" s="6"/>
      <c r="M500" s="8"/>
      <c r="S500" s="4"/>
    </row>
    <row r="501">
      <c r="C501" s="2"/>
      <c r="D501" s="6"/>
      <c r="E501" s="4"/>
      <c r="J501" s="6"/>
      <c r="M501" s="8"/>
      <c r="S501" s="4"/>
    </row>
    <row r="502">
      <c r="C502" s="2"/>
      <c r="D502" s="6"/>
      <c r="E502" s="4"/>
      <c r="J502" s="6"/>
      <c r="M502" s="8"/>
      <c r="S502" s="4"/>
    </row>
    <row r="503">
      <c r="C503" s="2"/>
      <c r="D503" s="6"/>
      <c r="E503" s="4"/>
      <c r="J503" s="6"/>
      <c r="M503" s="8"/>
      <c r="S503" s="4"/>
    </row>
    <row r="504">
      <c r="C504" s="2"/>
      <c r="D504" s="6"/>
      <c r="E504" s="4"/>
      <c r="J504" s="6"/>
      <c r="M504" s="8"/>
      <c r="S504" s="4"/>
    </row>
    <row r="505">
      <c r="C505" s="2"/>
      <c r="D505" s="6"/>
      <c r="E505" s="4"/>
      <c r="J505" s="6"/>
      <c r="M505" s="8"/>
      <c r="S505" s="4"/>
    </row>
    <row r="506">
      <c r="C506" s="2"/>
      <c r="D506" s="6"/>
      <c r="E506" s="4"/>
      <c r="J506" s="6"/>
      <c r="M506" s="8"/>
      <c r="S506" s="4"/>
    </row>
    <row r="507">
      <c r="C507" s="2"/>
      <c r="D507" s="6"/>
      <c r="E507" s="4"/>
      <c r="J507" s="6"/>
      <c r="M507" s="8"/>
      <c r="S507" s="4"/>
    </row>
    <row r="508">
      <c r="C508" s="2"/>
      <c r="D508" s="6"/>
      <c r="E508" s="4"/>
      <c r="J508" s="6"/>
      <c r="M508" s="8"/>
      <c r="S508" s="4"/>
    </row>
    <row r="509">
      <c r="C509" s="2"/>
      <c r="D509" s="6"/>
      <c r="E509" s="4"/>
      <c r="J509" s="6"/>
      <c r="M509" s="8"/>
      <c r="S509" s="4"/>
    </row>
    <row r="510">
      <c r="C510" s="2"/>
      <c r="D510" s="6"/>
      <c r="E510" s="4"/>
      <c r="J510" s="6"/>
      <c r="M510" s="8"/>
      <c r="S510" s="4"/>
    </row>
    <row r="511">
      <c r="C511" s="2"/>
      <c r="D511" s="6"/>
      <c r="E511" s="4"/>
      <c r="J511" s="6"/>
      <c r="M511" s="8"/>
      <c r="S511" s="4"/>
    </row>
    <row r="512">
      <c r="C512" s="2"/>
      <c r="D512" s="6"/>
      <c r="E512" s="4"/>
      <c r="J512" s="6"/>
      <c r="M512" s="8"/>
      <c r="S512" s="4"/>
    </row>
    <row r="513">
      <c r="C513" s="2"/>
      <c r="D513" s="6"/>
      <c r="E513" s="4"/>
      <c r="J513" s="6"/>
      <c r="M513" s="8"/>
      <c r="S513" s="4"/>
    </row>
    <row r="514">
      <c r="C514" s="2"/>
      <c r="D514" s="6"/>
      <c r="E514" s="4"/>
      <c r="J514" s="6"/>
      <c r="M514" s="8"/>
      <c r="S514" s="4"/>
    </row>
    <row r="515">
      <c r="C515" s="2"/>
      <c r="D515" s="6"/>
      <c r="E515" s="4"/>
      <c r="J515" s="6"/>
      <c r="M515" s="8"/>
      <c r="S515" s="4"/>
    </row>
    <row r="516">
      <c r="C516" s="2"/>
      <c r="D516" s="6"/>
      <c r="E516" s="4"/>
      <c r="J516" s="6"/>
      <c r="M516" s="8"/>
      <c r="S516" s="4"/>
    </row>
    <row r="517">
      <c r="C517" s="2"/>
      <c r="D517" s="6"/>
      <c r="E517" s="4"/>
      <c r="J517" s="6"/>
      <c r="M517" s="8"/>
      <c r="S517" s="4"/>
    </row>
    <row r="518">
      <c r="C518" s="2"/>
      <c r="D518" s="6"/>
      <c r="E518" s="4"/>
      <c r="J518" s="6"/>
      <c r="M518" s="8"/>
      <c r="S518" s="4"/>
    </row>
    <row r="519">
      <c r="C519" s="2"/>
      <c r="D519" s="6"/>
      <c r="E519" s="4"/>
      <c r="J519" s="6"/>
      <c r="M519" s="8"/>
      <c r="S519" s="4"/>
    </row>
    <row r="520">
      <c r="C520" s="2"/>
      <c r="D520" s="6"/>
      <c r="E520" s="4"/>
      <c r="J520" s="6"/>
      <c r="M520" s="8"/>
      <c r="S520" s="4"/>
    </row>
    <row r="521">
      <c r="C521" s="2"/>
      <c r="D521" s="6"/>
      <c r="E521" s="4"/>
      <c r="J521" s="6"/>
      <c r="M521" s="8"/>
      <c r="S521" s="4"/>
    </row>
    <row r="522">
      <c r="C522" s="2"/>
      <c r="D522" s="6"/>
      <c r="E522" s="4"/>
      <c r="J522" s="6"/>
      <c r="M522" s="8"/>
      <c r="S522" s="4"/>
    </row>
    <row r="523">
      <c r="C523" s="2"/>
      <c r="D523" s="6"/>
      <c r="E523" s="4"/>
      <c r="J523" s="6"/>
      <c r="M523" s="8"/>
      <c r="S523" s="4"/>
    </row>
    <row r="524">
      <c r="C524" s="2"/>
      <c r="D524" s="6"/>
      <c r="E524" s="4"/>
      <c r="J524" s="6"/>
      <c r="M524" s="8"/>
      <c r="S524" s="4"/>
    </row>
    <row r="525">
      <c r="C525" s="2"/>
      <c r="D525" s="6"/>
      <c r="E525" s="4"/>
      <c r="J525" s="6"/>
      <c r="M525" s="8"/>
      <c r="S525" s="4"/>
    </row>
    <row r="526">
      <c r="C526" s="2"/>
      <c r="D526" s="6"/>
      <c r="E526" s="4"/>
      <c r="J526" s="6"/>
      <c r="M526" s="8"/>
      <c r="S526" s="4"/>
    </row>
    <row r="527">
      <c r="C527" s="2"/>
      <c r="D527" s="6"/>
      <c r="E527" s="4"/>
      <c r="J527" s="6"/>
      <c r="M527" s="8"/>
      <c r="S527" s="4"/>
    </row>
    <row r="528">
      <c r="C528" s="2"/>
      <c r="D528" s="6"/>
      <c r="E528" s="4"/>
      <c r="J528" s="6"/>
      <c r="M528" s="8"/>
      <c r="S528" s="4"/>
    </row>
    <row r="529">
      <c r="C529" s="2"/>
      <c r="D529" s="6"/>
      <c r="E529" s="4"/>
      <c r="J529" s="6"/>
      <c r="M529" s="8"/>
      <c r="S529" s="4"/>
    </row>
    <row r="530">
      <c r="C530" s="2"/>
      <c r="D530" s="6"/>
      <c r="E530" s="4"/>
      <c r="J530" s="6"/>
      <c r="M530" s="8"/>
      <c r="S530" s="4"/>
    </row>
    <row r="531">
      <c r="C531" s="2"/>
      <c r="D531" s="6"/>
      <c r="E531" s="4"/>
      <c r="J531" s="6"/>
      <c r="M531" s="8"/>
      <c r="S531" s="4"/>
    </row>
    <row r="532">
      <c r="C532" s="2"/>
      <c r="D532" s="6"/>
      <c r="E532" s="4"/>
      <c r="J532" s="6"/>
      <c r="M532" s="8"/>
      <c r="S532" s="4"/>
    </row>
    <row r="533">
      <c r="C533" s="2"/>
      <c r="D533" s="6"/>
      <c r="E533" s="4"/>
      <c r="J533" s="6"/>
      <c r="M533" s="8"/>
      <c r="S533" s="4"/>
    </row>
    <row r="534">
      <c r="C534" s="2"/>
      <c r="D534" s="6"/>
      <c r="E534" s="4"/>
      <c r="J534" s="6"/>
      <c r="M534" s="8"/>
      <c r="S534" s="4"/>
    </row>
    <row r="535">
      <c r="C535" s="2"/>
      <c r="D535" s="6"/>
      <c r="E535" s="4"/>
      <c r="J535" s="6"/>
      <c r="M535" s="8"/>
      <c r="S535" s="4"/>
    </row>
    <row r="536">
      <c r="C536" s="2"/>
      <c r="D536" s="6"/>
      <c r="E536" s="4"/>
      <c r="J536" s="6"/>
      <c r="M536" s="8"/>
      <c r="S536" s="4"/>
    </row>
    <row r="537">
      <c r="C537" s="2"/>
      <c r="D537" s="6"/>
      <c r="E537" s="4"/>
      <c r="J537" s="6"/>
      <c r="M537" s="8"/>
      <c r="S537" s="4"/>
    </row>
    <row r="538">
      <c r="C538" s="2"/>
      <c r="D538" s="6"/>
      <c r="E538" s="4"/>
      <c r="J538" s="6"/>
      <c r="M538" s="8"/>
      <c r="S538" s="4"/>
    </row>
    <row r="539">
      <c r="C539" s="2"/>
      <c r="D539" s="6"/>
      <c r="E539" s="4"/>
      <c r="J539" s="6"/>
      <c r="M539" s="8"/>
      <c r="S539" s="4"/>
    </row>
    <row r="540">
      <c r="C540" s="2"/>
      <c r="D540" s="6"/>
      <c r="E540" s="4"/>
      <c r="J540" s="6"/>
      <c r="M540" s="8"/>
      <c r="S540" s="4"/>
    </row>
    <row r="541">
      <c r="C541" s="2"/>
      <c r="D541" s="6"/>
      <c r="E541" s="4"/>
      <c r="J541" s="6"/>
      <c r="M541" s="8"/>
      <c r="S541" s="4"/>
    </row>
    <row r="542">
      <c r="C542" s="2"/>
      <c r="D542" s="6"/>
      <c r="E542" s="4"/>
      <c r="J542" s="6"/>
      <c r="M542" s="8"/>
      <c r="S542" s="4"/>
    </row>
    <row r="543">
      <c r="C543" s="2"/>
      <c r="D543" s="6"/>
      <c r="E543" s="4"/>
      <c r="J543" s="6"/>
      <c r="M543" s="8"/>
      <c r="S543" s="4"/>
    </row>
    <row r="544">
      <c r="C544" s="2"/>
      <c r="D544" s="6"/>
      <c r="E544" s="4"/>
      <c r="J544" s="6"/>
      <c r="M544" s="8"/>
      <c r="S544" s="4"/>
    </row>
    <row r="545">
      <c r="C545" s="2"/>
      <c r="D545" s="6"/>
      <c r="E545" s="4"/>
      <c r="J545" s="6"/>
      <c r="M545" s="8"/>
      <c r="S545" s="4"/>
    </row>
    <row r="546">
      <c r="C546" s="2"/>
      <c r="D546" s="6"/>
      <c r="E546" s="4"/>
      <c r="J546" s="6"/>
      <c r="M546" s="8"/>
      <c r="S546" s="4"/>
    </row>
    <row r="547">
      <c r="C547" s="2"/>
      <c r="D547" s="6"/>
      <c r="E547" s="4"/>
      <c r="J547" s="6"/>
      <c r="M547" s="8"/>
      <c r="S547" s="4"/>
    </row>
    <row r="548">
      <c r="C548" s="2"/>
      <c r="D548" s="6"/>
      <c r="E548" s="4"/>
      <c r="J548" s="6"/>
      <c r="M548" s="8"/>
      <c r="S548" s="4"/>
    </row>
    <row r="549">
      <c r="C549" s="2"/>
      <c r="D549" s="6"/>
      <c r="E549" s="4"/>
      <c r="J549" s="6"/>
      <c r="M549" s="8"/>
      <c r="S549" s="4"/>
    </row>
    <row r="550">
      <c r="C550" s="2"/>
      <c r="D550" s="6"/>
      <c r="E550" s="4"/>
      <c r="J550" s="6"/>
      <c r="M550" s="8"/>
      <c r="S550" s="4"/>
    </row>
    <row r="551">
      <c r="C551" s="2"/>
      <c r="D551" s="6"/>
      <c r="E551" s="4"/>
      <c r="J551" s="6"/>
      <c r="M551" s="8"/>
      <c r="S551" s="4"/>
    </row>
    <row r="552">
      <c r="C552" s="2"/>
      <c r="D552" s="6"/>
      <c r="E552" s="4"/>
      <c r="J552" s="6"/>
      <c r="M552" s="8"/>
      <c r="S552" s="4"/>
    </row>
    <row r="553">
      <c r="C553" s="2"/>
      <c r="D553" s="6"/>
      <c r="E553" s="4"/>
      <c r="J553" s="6"/>
      <c r="M553" s="8"/>
      <c r="S553" s="4"/>
    </row>
    <row r="554">
      <c r="C554" s="2"/>
      <c r="D554" s="6"/>
      <c r="E554" s="4"/>
      <c r="J554" s="6"/>
      <c r="M554" s="8"/>
      <c r="S554" s="4"/>
    </row>
    <row r="555">
      <c r="C555" s="2"/>
      <c r="D555" s="6"/>
      <c r="E555" s="4"/>
      <c r="J555" s="6"/>
      <c r="M555" s="8"/>
      <c r="S555" s="4"/>
    </row>
    <row r="556">
      <c r="C556" s="2"/>
      <c r="D556" s="6"/>
      <c r="E556" s="4"/>
      <c r="J556" s="6"/>
      <c r="M556" s="8"/>
      <c r="S556" s="4"/>
    </row>
    <row r="557">
      <c r="C557" s="2"/>
      <c r="D557" s="6"/>
      <c r="E557" s="4"/>
      <c r="J557" s="6"/>
      <c r="M557" s="8"/>
      <c r="S557" s="4"/>
    </row>
    <row r="558">
      <c r="C558" s="2"/>
      <c r="D558" s="6"/>
      <c r="E558" s="4"/>
      <c r="J558" s="6"/>
      <c r="M558" s="8"/>
      <c r="S558" s="4"/>
    </row>
    <row r="559">
      <c r="C559" s="2"/>
      <c r="D559" s="6"/>
      <c r="E559" s="4"/>
      <c r="J559" s="6"/>
      <c r="M559" s="8"/>
      <c r="S559" s="4"/>
    </row>
    <row r="560">
      <c r="C560" s="2"/>
      <c r="D560" s="6"/>
      <c r="E560" s="4"/>
      <c r="J560" s="6"/>
      <c r="M560" s="8"/>
      <c r="S560" s="4"/>
    </row>
    <row r="561">
      <c r="C561" s="2"/>
      <c r="D561" s="6"/>
      <c r="E561" s="4"/>
      <c r="J561" s="6"/>
      <c r="M561" s="8"/>
      <c r="S561" s="4"/>
    </row>
    <row r="562">
      <c r="C562" s="2"/>
      <c r="D562" s="6"/>
      <c r="E562" s="4"/>
      <c r="J562" s="6"/>
      <c r="M562" s="8"/>
      <c r="S562" s="4"/>
    </row>
    <row r="563">
      <c r="C563" s="2"/>
      <c r="D563" s="6"/>
      <c r="E563" s="4"/>
      <c r="J563" s="6"/>
      <c r="M563" s="8"/>
      <c r="S563" s="4"/>
    </row>
    <row r="564">
      <c r="C564" s="2"/>
      <c r="D564" s="6"/>
      <c r="E564" s="4"/>
      <c r="J564" s="6"/>
      <c r="M564" s="8"/>
      <c r="S564" s="4"/>
    </row>
    <row r="565">
      <c r="C565" s="2"/>
      <c r="D565" s="6"/>
      <c r="E565" s="4"/>
      <c r="J565" s="6"/>
      <c r="M565" s="8"/>
      <c r="S565" s="4"/>
    </row>
    <row r="566">
      <c r="C566" s="2"/>
      <c r="D566" s="6"/>
      <c r="E566" s="4"/>
      <c r="J566" s="6"/>
      <c r="M566" s="8"/>
      <c r="S566" s="4"/>
    </row>
    <row r="567">
      <c r="C567" s="2"/>
      <c r="D567" s="6"/>
      <c r="E567" s="4"/>
      <c r="J567" s="6"/>
      <c r="M567" s="8"/>
      <c r="S567" s="4"/>
    </row>
    <row r="568">
      <c r="C568" s="2"/>
      <c r="D568" s="6"/>
      <c r="E568" s="4"/>
      <c r="J568" s="6"/>
      <c r="M568" s="8"/>
      <c r="S568" s="4"/>
    </row>
    <row r="569">
      <c r="C569" s="2"/>
      <c r="D569" s="6"/>
      <c r="E569" s="4"/>
      <c r="J569" s="6"/>
      <c r="M569" s="8"/>
      <c r="S569" s="4"/>
    </row>
    <row r="570">
      <c r="C570" s="2"/>
      <c r="D570" s="6"/>
      <c r="E570" s="4"/>
      <c r="J570" s="6"/>
      <c r="M570" s="8"/>
      <c r="S570" s="4"/>
    </row>
    <row r="571">
      <c r="C571" s="2"/>
      <c r="D571" s="6"/>
      <c r="E571" s="4"/>
      <c r="J571" s="6"/>
      <c r="M571" s="8"/>
      <c r="S571" s="4"/>
    </row>
    <row r="572">
      <c r="C572" s="2"/>
      <c r="D572" s="6"/>
      <c r="E572" s="4"/>
      <c r="J572" s="6"/>
      <c r="M572" s="8"/>
      <c r="S572" s="4"/>
    </row>
    <row r="573">
      <c r="C573" s="2"/>
      <c r="D573" s="6"/>
      <c r="E573" s="4"/>
      <c r="J573" s="6"/>
      <c r="M573" s="8"/>
      <c r="S573" s="4"/>
    </row>
    <row r="574">
      <c r="C574" s="2"/>
      <c r="D574" s="6"/>
      <c r="E574" s="4"/>
      <c r="J574" s="6"/>
      <c r="M574" s="8"/>
      <c r="S574" s="4"/>
    </row>
    <row r="575">
      <c r="C575" s="2"/>
      <c r="D575" s="6"/>
      <c r="E575" s="4"/>
      <c r="J575" s="6"/>
      <c r="M575" s="8"/>
      <c r="S575" s="4"/>
    </row>
    <row r="576">
      <c r="C576" s="2"/>
      <c r="D576" s="6"/>
      <c r="E576" s="4"/>
      <c r="J576" s="6"/>
      <c r="M576" s="8"/>
      <c r="S576" s="4"/>
    </row>
    <row r="577">
      <c r="C577" s="2"/>
      <c r="D577" s="6"/>
      <c r="E577" s="4"/>
      <c r="J577" s="6"/>
      <c r="M577" s="8"/>
      <c r="S577" s="4"/>
    </row>
    <row r="578">
      <c r="C578" s="2"/>
      <c r="D578" s="6"/>
      <c r="E578" s="4"/>
      <c r="J578" s="6"/>
      <c r="M578" s="8"/>
      <c r="S578" s="4"/>
    </row>
    <row r="579">
      <c r="C579" s="2"/>
      <c r="D579" s="6"/>
      <c r="E579" s="4"/>
      <c r="J579" s="6"/>
      <c r="M579" s="8"/>
      <c r="S579" s="4"/>
    </row>
    <row r="580">
      <c r="C580" s="2"/>
      <c r="D580" s="6"/>
      <c r="E580" s="4"/>
      <c r="J580" s="6"/>
      <c r="M580" s="8"/>
      <c r="S580" s="4"/>
    </row>
    <row r="581">
      <c r="C581" s="2"/>
      <c r="D581" s="6"/>
      <c r="E581" s="4"/>
      <c r="J581" s="6"/>
      <c r="M581" s="8"/>
      <c r="S581" s="4"/>
    </row>
    <row r="582">
      <c r="C582" s="2"/>
      <c r="D582" s="6"/>
      <c r="E582" s="4"/>
      <c r="J582" s="6"/>
      <c r="M582" s="8"/>
      <c r="S582" s="4"/>
    </row>
    <row r="583">
      <c r="C583" s="2"/>
      <c r="D583" s="6"/>
      <c r="E583" s="4"/>
      <c r="J583" s="6"/>
      <c r="M583" s="8"/>
      <c r="S583" s="4"/>
    </row>
    <row r="584">
      <c r="C584" s="2"/>
      <c r="D584" s="6"/>
      <c r="E584" s="4"/>
      <c r="J584" s="6"/>
      <c r="M584" s="8"/>
      <c r="S584" s="4"/>
    </row>
    <row r="585">
      <c r="C585" s="2"/>
      <c r="D585" s="6"/>
      <c r="E585" s="4"/>
      <c r="J585" s="6"/>
      <c r="M585" s="8"/>
      <c r="S585" s="4"/>
    </row>
    <row r="586">
      <c r="C586" s="2"/>
      <c r="D586" s="6"/>
      <c r="E586" s="4"/>
      <c r="J586" s="6"/>
      <c r="M586" s="8"/>
      <c r="S586" s="4"/>
    </row>
    <row r="587">
      <c r="C587" s="2"/>
      <c r="D587" s="6"/>
      <c r="E587" s="4"/>
      <c r="J587" s="6"/>
      <c r="M587" s="8"/>
      <c r="S587" s="4"/>
    </row>
    <row r="588">
      <c r="C588" s="2"/>
      <c r="D588" s="6"/>
      <c r="E588" s="4"/>
      <c r="J588" s="6"/>
      <c r="M588" s="8"/>
      <c r="S588" s="4"/>
    </row>
    <row r="589">
      <c r="C589" s="2"/>
      <c r="D589" s="6"/>
      <c r="E589" s="4"/>
      <c r="J589" s="6"/>
      <c r="M589" s="8"/>
      <c r="S589" s="4"/>
    </row>
    <row r="590">
      <c r="C590" s="2"/>
      <c r="D590" s="6"/>
      <c r="E590" s="4"/>
      <c r="J590" s="6"/>
      <c r="M590" s="8"/>
      <c r="S590" s="4"/>
    </row>
    <row r="591">
      <c r="C591" s="2"/>
      <c r="D591" s="6"/>
      <c r="E591" s="4"/>
      <c r="J591" s="6"/>
      <c r="M591" s="8"/>
      <c r="S591" s="4"/>
    </row>
    <row r="592">
      <c r="C592" s="2"/>
      <c r="D592" s="6"/>
      <c r="E592" s="4"/>
      <c r="J592" s="6"/>
      <c r="M592" s="8"/>
      <c r="S592" s="4"/>
    </row>
    <row r="593">
      <c r="C593" s="2"/>
      <c r="D593" s="6"/>
      <c r="E593" s="4"/>
      <c r="J593" s="6"/>
      <c r="M593" s="8"/>
      <c r="S593" s="4"/>
    </row>
    <row r="594">
      <c r="C594" s="2"/>
      <c r="D594" s="6"/>
      <c r="E594" s="4"/>
      <c r="J594" s="6"/>
      <c r="M594" s="8"/>
      <c r="S594" s="4"/>
    </row>
    <row r="595">
      <c r="C595" s="2"/>
      <c r="D595" s="6"/>
      <c r="E595" s="4"/>
      <c r="J595" s="6"/>
      <c r="M595" s="8"/>
      <c r="S595" s="4"/>
    </row>
    <row r="596">
      <c r="C596" s="2"/>
      <c r="D596" s="6"/>
      <c r="E596" s="4"/>
      <c r="J596" s="6"/>
      <c r="M596" s="8"/>
      <c r="S596" s="4"/>
    </row>
    <row r="597">
      <c r="C597" s="2"/>
      <c r="D597" s="6"/>
      <c r="E597" s="4"/>
      <c r="J597" s="6"/>
      <c r="M597" s="8"/>
      <c r="S597" s="4"/>
    </row>
    <row r="598">
      <c r="C598" s="2"/>
      <c r="D598" s="6"/>
      <c r="E598" s="4"/>
      <c r="J598" s="6"/>
      <c r="M598" s="8"/>
      <c r="S598" s="4"/>
    </row>
    <row r="599">
      <c r="C599" s="2"/>
      <c r="D599" s="6"/>
      <c r="E599" s="4"/>
      <c r="J599" s="6"/>
      <c r="M599" s="8"/>
      <c r="S599" s="4"/>
    </row>
    <row r="600">
      <c r="C600" s="2"/>
      <c r="D600" s="6"/>
      <c r="E600" s="4"/>
      <c r="J600" s="6"/>
      <c r="M600" s="8"/>
      <c r="S600" s="4"/>
    </row>
    <row r="601">
      <c r="C601" s="2"/>
      <c r="D601" s="6"/>
      <c r="E601" s="4"/>
      <c r="J601" s="6"/>
      <c r="M601" s="8"/>
      <c r="S601" s="4"/>
    </row>
    <row r="602">
      <c r="C602" s="2"/>
      <c r="D602" s="6"/>
      <c r="E602" s="4"/>
      <c r="J602" s="6"/>
      <c r="M602" s="8"/>
      <c r="S602" s="4"/>
    </row>
    <row r="603">
      <c r="C603" s="2"/>
      <c r="D603" s="6"/>
      <c r="E603" s="4"/>
      <c r="J603" s="6"/>
      <c r="M603" s="8"/>
      <c r="S603" s="4"/>
    </row>
    <row r="604">
      <c r="C604" s="2"/>
      <c r="D604" s="6"/>
      <c r="E604" s="4"/>
      <c r="J604" s="6"/>
      <c r="M604" s="8"/>
      <c r="S604" s="4"/>
    </row>
    <row r="605">
      <c r="C605" s="2"/>
      <c r="D605" s="6"/>
      <c r="E605" s="4"/>
      <c r="J605" s="6"/>
      <c r="M605" s="8"/>
      <c r="S605" s="4"/>
    </row>
    <row r="606">
      <c r="C606" s="2"/>
      <c r="D606" s="6"/>
      <c r="E606" s="4"/>
      <c r="J606" s="6"/>
      <c r="M606" s="8"/>
      <c r="S606" s="4"/>
    </row>
    <row r="607">
      <c r="C607" s="2"/>
      <c r="D607" s="6"/>
      <c r="E607" s="4"/>
      <c r="J607" s="6"/>
      <c r="M607" s="8"/>
      <c r="S607" s="4"/>
    </row>
    <row r="608">
      <c r="C608" s="2"/>
      <c r="D608" s="6"/>
      <c r="E608" s="4"/>
      <c r="J608" s="6"/>
      <c r="M608" s="8"/>
      <c r="S608" s="4"/>
    </row>
    <row r="609">
      <c r="C609" s="2"/>
      <c r="D609" s="6"/>
      <c r="E609" s="4"/>
      <c r="J609" s="6"/>
      <c r="M609" s="8"/>
      <c r="S609" s="4"/>
    </row>
    <row r="610">
      <c r="C610" s="2"/>
      <c r="D610" s="6"/>
      <c r="E610" s="4"/>
      <c r="J610" s="6"/>
      <c r="M610" s="8"/>
      <c r="S610" s="4"/>
    </row>
    <row r="611">
      <c r="C611" s="2"/>
      <c r="D611" s="6"/>
      <c r="E611" s="4"/>
      <c r="J611" s="6"/>
      <c r="M611" s="8"/>
      <c r="S611" s="4"/>
    </row>
    <row r="612">
      <c r="C612" s="2"/>
      <c r="D612" s="6"/>
      <c r="E612" s="4"/>
      <c r="J612" s="6"/>
      <c r="M612" s="8"/>
      <c r="S612" s="4"/>
    </row>
    <row r="613">
      <c r="C613" s="2"/>
      <c r="D613" s="6"/>
      <c r="E613" s="4"/>
      <c r="J613" s="6"/>
      <c r="M613" s="8"/>
      <c r="S613" s="4"/>
    </row>
    <row r="614">
      <c r="C614" s="2"/>
      <c r="D614" s="6"/>
      <c r="E614" s="4"/>
      <c r="J614" s="6"/>
      <c r="M614" s="8"/>
      <c r="S614" s="4"/>
    </row>
    <row r="615">
      <c r="C615" s="2"/>
      <c r="D615" s="6"/>
      <c r="E615" s="4"/>
      <c r="J615" s="6"/>
      <c r="M615" s="8"/>
      <c r="S615" s="4"/>
    </row>
    <row r="616">
      <c r="C616" s="2"/>
      <c r="D616" s="6"/>
      <c r="E616" s="4"/>
      <c r="J616" s="6"/>
      <c r="M616" s="8"/>
      <c r="S616" s="4"/>
    </row>
    <row r="617">
      <c r="C617" s="2"/>
      <c r="D617" s="6"/>
      <c r="E617" s="4"/>
      <c r="J617" s="6"/>
      <c r="M617" s="8"/>
      <c r="S617" s="4"/>
    </row>
    <row r="618">
      <c r="C618" s="2"/>
      <c r="D618" s="6"/>
      <c r="E618" s="4"/>
      <c r="J618" s="6"/>
      <c r="M618" s="8"/>
      <c r="S618" s="4"/>
    </row>
    <row r="619">
      <c r="C619" s="2"/>
      <c r="D619" s="6"/>
      <c r="E619" s="4"/>
      <c r="J619" s="6"/>
      <c r="M619" s="8"/>
      <c r="S619" s="4"/>
    </row>
    <row r="620">
      <c r="C620" s="2"/>
      <c r="D620" s="6"/>
      <c r="E620" s="4"/>
      <c r="J620" s="6"/>
      <c r="M620" s="8"/>
      <c r="S620" s="4"/>
    </row>
    <row r="621">
      <c r="C621" s="2"/>
      <c r="D621" s="6"/>
      <c r="E621" s="4"/>
      <c r="J621" s="6"/>
      <c r="M621" s="8"/>
      <c r="S621" s="4"/>
    </row>
    <row r="622">
      <c r="C622" s="2"/>
      <c r="D622" s="6"/>
      <c r="E622" s="4"/>
      <c r="J622" s="6"/>
      <c r="M622" s="8"/>
      <c r="S622" s="4"/>
    </row>
    <row r="623">
      <c r="C623" s="2"/>
      <c r="D623" s="6"/>
      <c r="E623" s="4"/>
      <c r="J623" s="6"/>
      <c r="M623" s="8"/>
      <c r="S623" s="4"/>
    </row>
    <row r="624">
      <c r="C624" s="2"/>
      <c r="D624" s="6"/>
      <c r="E624" s="4"/>
      <c r="J624" s="6"/>
      <c r="M624" s="8"/>
      <c r="S624" s="4"/>
    </row>
    <row r="625">
      <c r="C625" s="2"/>
      <c r="D625" s="6"/>
      <c r="E625" s="4"/>
      <c r="J625" s="6"/>
      <c r="M625" s="8"/>
      <c r="S625" s="4"/>
    </row>
    <row r="626">
      <c r="C626" s="2"/>
      <c r="D626" s="6"/>
      <c r="E626" s="4"/>
      <c r="J626" s="6"/>
      <c r="M626" s="8"/>
      <c r="S626" s="4"/>
    </row>
    <row r="627">
      <c r="C627" s="2"/>
      <c r="D627" s="6"/>
      <c r="E627" s="4"/>
      <c r="J627" s="6"/>
      <c r="M627" s="8"/>
      <c r="S627" s="4"/>
    </row>
    <row r="628">
      <c r="C628" s="2"/>
      <c r="D628" s="6"/>
      <c r="E628" s="4"/>
      <c r="J628" s="6"/>
      <c r="M628" s="8"/>
      <c r="S628" s="4"/>
    </row>
    <row r="629">
      <c r="C629" s="2"/>
      <c r="D629" s="6"/>
      <c r="E629" s="4"/>
      <c r="J629" s="6"/>
      <c r="M629" s="8"/>
      <c r="S629" s="4"/>
    </row>
    <row r="630">
      <c r="C630" s="2"/>
      <c r="D630" s="6"/>
      <c r="E630" s="4"/>
      <c r="J630" s="6"/>
      <c r="M630" s="8"/>
      <c r="S630" s="4"/>
    </row>
    <row r="631">
      <c r="C631" s="2"/>
      <c r="D631" s="6"/>
      <c r="E631" s="4"/>
      <c r="J631" s="6"/>
      <c r="M631" s="8"/>
      <c r="S631" s="4"/>
    </row>
    <row r="632">
      <c r="C632" s="2"/>
      <c r="D632" s="6"/>
      <c r="E632" s="4"/>
      <c r="J632" s="6"/>
      <c r="M632" s="8"/>
      <c r="S632" s="4"/>
    </row>
    <row r="633">
      <c r="C633" s="2"/>
      <c r="D633" s="6"/>
      <c r="E633" s="4"/>
      <c r="J633" s="6"/>
      <c r="M633" s="8"/>
      <c r="S633" s="4"/>
    </row>
    <row r="634">
      <c r="C634" s="2"/>
      <c r="D634" s="6"/>
      <c r="E634" s="4"/>
      <c r="J634" s="6"/>
      <c r="M634" s="8"/>
      <c r="S634" s="4"/>
    </row>
    <row r="635">
      <c r="C635" s="2"/>
      <c r="D635" s="6"/>
      <c r="E635" s="4"/>
      <c r="J635" s="6"/>
      <c r="M635" s="8"/>
      <c r="S635" s="4"/>
    </row>
    <row r="636">
      <c r="C636" s="2"/>
      <c r="D636" s="6"/>
      <c r="E636" s="4"/>
      <c r="J636" s="6"/>
      <c r="M636" s="8"/>
      <c r="S636" s="4"/>
    </row>
    <row r="637">
      <c r="C637" s="2"/>
      <c r="D637" s="6"/>
      <c r="E637" s="4"/>
      <c r="J637" s="6"/>
      <c r="M637" s="8"/>
      <c r="S637" s="4"/>
    </row>
    <row r="638">
      <c r="C638" s="2"/>
      <c r="D638" s="6"/>
      <c r="E638" s="4"/>
      <c r="J638" s="6"/>
      <c r="M638" s="8"/>
      <c r="S638" s="4"/>
    </row>
    <row r="639">
      <c r="C639" s="2"/>
      <c r="D639" s="6"/>
      <c r="E639" s="4"/>
      <c r="J639" s="6"/>
      <c r="M639" s="8"/>
      <c r="S639" s="4"/>
    </row>
    <row r="640">
      <c r="C640" s="2"/>
      <c r="D640" s="6"/>
      <c r="E640" s="4"/>
      <c r="J640" s="6"/>
      <c r="M640" s="8"/>
      <c r="S640" s="4"/>
    </row>
    <row r="641">
      <c r="C641" s="2"/>
      <c r="D641" s="6"/>
      <c r="E641" s="4"/>
      <c r="J641" s="6"/>
      <c r="M641" s="8"/>
      <c r="S641" s="4"/>
    </row>
    <row r="642">
      <c r="C642" s="2"/>
      <c r="D642" s="6"/>
      <c r="E642" s="4"/>
      <c r="J642" s="6"/>
      <c r="M642" s="8"/>
      <c r="S642" s="4"/>
    </row>
    <row r="643">
      <c r="C643" s="2"/>
      <c r="D643" s="6"/>
      <c r="E643" s="4"/>
      <c r="J643" s="6"/>
      <c r="M643" s="8"/>
      <c r="S643" s="4"/>
    </row>
    <row r="644">
      <c r="C644" s="2"/>
      <c r="D644" s="6"/>
      <c r="E644" s="4"/>
      <c r="J644" s="6"/>
      <c r="M644" s="8"/>
      <c r="S644" s="4"/>
    </row>
    <row r="645">
      <c r="C645" s="2"/>
      <c r="D645" s="6"/>
      <c r="E645" s="4"/>
      <c r="J645" s="6"/>
      <c r="M645" s="8"/>
      <c r="S645" s="4"/>
    </row>
    <row r="646">
      <c r="C646" s="2"/>
      <c r="D646" s="6"/>
      <c r="E646" s="4"/>
      <c r="J646" s="6"/>
      <c r="M646" s="8"/>
      <c r="S646" s="4"/>
    </row>
    <row r="647">
      <c r="C647" s="2"/>
      <c r="D647" s="6"/>
      <c r="E647" s="4"/>
      <c r="J647" s="6"/>
      <c r="M647" s="8"/>
      <c r="S647" s="4"/>
    </row>
    <row r="648">
      <c r="C648" s="2"/>
      <c r="D648" s="6"/>
      <c r="E648" s="4"/>
      <c r="J648" s="6"/>
      <c r="M648" s="8"/>
      <c r="S648" s="4"/>
    </row>
    <row r="649">
      <c r="C649" s="2"/>
      <c r="D649" s="6"/>
      <c r="E649" s="4"/>
      <c r="J649" s="6"/>
      <c r="M649" s="8"/>
      <c r="S649" s="4"/>
    </row>
    <row r="650">
      <c r="C650" s="2"/>
      <c r="D650" s="6"/>
      <c r="E650" s="4"/>
      <c r="J650" s="6"/>
      <c r="M650" s="8"/>
      <c r="S650" s="4"/>
    </row>
    <row r="651">
      <c r="C651" s="2"/>
      <c r="D651" s="6"/>
      <c r="E651" s="4"/>
      <c r="J651" s="6"/>
      <c r="M651" s="8"/>
      <c r="S651" s="4"/>
    </row>
    <row r="652">
      <c r="C652" s="2"/>
      <c r="D652" s="6"/>
      <c r="E652" s="4"/>
      <c r="J652" s="6"/>
      <c r="M652" s="8"/>
      <c r="S652" s="4"/>
    </row>
    <row r="653">
      <c r="C653" s="2"/>
      <c r="D653" s="6"/>
      <c r="E653" s="4"/>
      <c r="J653" s="6"/>
      <c r="M653" s="8"/>
      <c r="S653" s="4"/>
    </row>
    <row r="654">
      <c r="C654" s="2"/>
      <c r="D654" s="6"/>
      <c r="E654" s="4"/>
      <c r="J654" s="6"/>
      <c r="M654" s="8"/>
      <c r="S654" s="4"/>
    </row>
    <row r="655">
      <c r="C655" s="2"/>
      <c r="D655" s="6"/>
      <c r="E655" s="4"/>
      <c r="J655" s="6"/>
      <c r="M655" s="8"/>
      <c r="S655" s="4"/>
    </row>
    <row r="656">
      <c r="C656" s="2"/>
      <c r="D656" s="6"/>
      <c r="E656" s="4"/>
      <c r="J656" s="6"/>
      <c r="M656" s="8"/>
      <c r="S656" s="4"/>
    </row>
    <row r="657">
      <c r="C657" s="2"/>
      <c r="D657" s="6"/>
      <c r="E657" s="4"/>
      <c r="J657" s="6"/>
      <c r="M657" s="8"/>
      <c r="S657" s="4"/>
    </row>
    <row r="658">
      <c r="C658" s="2"/>
      <c r="D658" s="6"/>
      <c r="E658" s="4"/>
      <c r="J658" s="6"/>
      <c r="M658" s="8"/>
      <c r="S658" s="4"/>
    </row>
    <row r="659">
      <c r="C659" s="2"/>
      <c r="D659" s="6"/>
      <c r="E659" s="4"/>
      <c r="J659" s="6"/>
      <c r="M659" s="8"/>
      <c r="S659" s="4"/>
    </row>
    <row r="660">
      <c r="C660" s="2"/>
      <c r="D660" s="6"/>
      <c r="E660" s="4"/>
      <c r="J660" s="6"/>
      <c r="M660" s="8"/>
      <c r="S660" s="4"/>
    </row>
    <row r="661">
      <c r="C661" s="2"/>
      <c r="D661" s="6"/>
      <c r="E661" s="4"/>
      <c r="J661" s="6"/>
      <c r="M661" s="8"/>
      <c r="S661" s="4"/>
    </row>
    <row r="662">
      <c r="C662" s="2"/>
      <c r="D662" s="6"/>
      <c r="E662" s="4"/>
      <c r="J662" s="6"/>
      <c r="M662" s="8"/>
      <c r="S662" s="4"/>
    </row>
    <row r="663">
      <c r="C663" s="2"/>
      <c r="D663" s="6"/>
      <c r="E663" s="4"/>
      <c r="J663" s="6"/>
      <c r="M663" s="8"/>
      <c r="S663" s="4"/>
    </row>
    <row r="664">
      <c r="C664" s="2"/>
      <c r="D664" s="6"/>
      <c r="E664" s="4"/>
      <c r="J664" s="6"/>
      <c r="M664" s="8"/>
      <c r="S664" s="4"/>
    </row>
    <row r="665">
      <c r="C665" s="2"/>
      <c r="D665" s="6"/>
      <c r="E665" s="4"/>
      <c r="J665" s="6"/>
      <c r="M665" s="8"/>
      <c r="S665" s="4"/>
    </row>
    <row r="666">
      <c r="C666" s="2"/>
      <c r="D666" s="6"/>
      <c r="E666" s="4"/>
      <c r="J666" s="6"/>
      <c r="M666" s="8"/>
      <c r="S666" s="4"/>
    </row>
    <row r="667">
      <c r="C667" s="2"/>
      <c r="D667" s="6"/>
      <c r="E667" s="4"/>
      <c r="J667" s="6"/>
      <c r="M667" s="8"/>
      <c r="S667" s="4"/>
    </row>
    <row r="668">
      <c r="C668" s="2"/>
      <c r="D668" s="6"/>
      <c r="E668" s="4"/>
      <c r="J668" s="6"/>
      <c r="M668" s="8"/>
      <c r="S668" s="4"/>
    </row>
    <row r="669">
      <c r="C669" s="2"/>
      <c r="D669" s="6"/>
      <c r="E669" s="4"/>
      <c r="J669" s="6"/>
      <c r="M669" s="8"/>
      <c r="S669" s="4"/>
    </row>
    <row r="670">
      <c r="C670" s="2"/>
      <c r="D670" s="6"/>
      <c r="E670" s="4"/>
      <c r="J670" s="6"/>
      <c r="M670" s="8"/>
      <c r="S670" s="4"/>
    </row>
    <row r="671">
      <c r="C671" s="2"/>
      <c r="D671" s="6"/>
      <c r="E671" s="4"/>
      <c r="J671" s="6"/>
      <c r="M671" s="8"/>
      <c r="S671" s="4"/>
    </row>
    <row r="672">
      <c r="C672" s="2"/>
      <c r="D672" s="6"/>
      <c r="E672" s="4"/>
      <c r="J672" s="6"/>
      <c r="M672" s="8"/>
      <c r="S672" s="4"/>
    </row>
    <row r="673">
      <c r="C673" s="2"/>
      <c r="D673" s="6"/>
      <c r="E673" s="4"/>
      <c r="J673" s="6"/>
      <c r="M673" s="8"/>
      <c r="S673" s="4"/>
    </row>
    <row r="674">
      <c r="C674" s="2"/>
      <c r="D674" s="6"/>
      <c r="E674" s="4"/>
      <c r="J674" s="6"/>
      <c r="M674" s="8"/>
      <c r="S674" s="4"/>
    </row>
    <row r="675">
      <c r="C675" s="2"/>
      <c r="D675" s="6"/>
      <c r="E675" s="4"/>
      <c r="J675" s="6"/>
      <c r="M675" s="8"/>
      <c r="S675" s="4"/>
    </row>
    <row r="676">
      <c r="C676" s="2"/>
      <c r="D676" s="6"/>
      <c r="E676" s="4"/>
      <c r="J676" s="6"/>
      <c r="M676" s="8"/>
      <c r="S676" s="4"/>
    </row>
    <row r="677">
      <c r="C677" s="2"/>
      <c r="D677" s="6"/>
      <c r="E677" s="4"/>
      <c r="J677" s="6"/>
      <c r="M677" s="8"/>
      <c r="S677" s="4"/>
    </row>
    <row r="678">
      <c r="C678" s="2"/>
      <c r="D678" s="6"/>
      <c r="E678" s="4"/>
      <c r="J678" s="6"/>
      <c r="M678" s="8"/>
      <c r="S678" s="4"/>
    </row>
    <row r="679">
      <c r="C679" s="2"/>
      <c r="D679" s="6"/>
      <c r="E679" s="4"/>
      <c r="J679" s="6"/>
      <c r="M679" s="8"/>
      <c r="S679" s="4"/>
    </row>
    <row r="680">
      <c r="C680" s="2"/>
      <c r="D680" s="6"/>
      <c r="E680" s="4"/>
      <c r="J680" s="6"/>
      <c r="M680" s="8"/>
      <c r="S680" s="4"/>
    </row>
    <row r="681">
      <c r="C681" s="2"/>
      <c r="D681" s="6"/>
      <c r="E681" s="4"/>
      <c r="J681" s="6"/>
      <c r="M681" s="8"/>
      <c r="S681" s="4"/>
    </row>
    <row r="682">
      <c r="C682" s="2"/>
      <c r="D682" s="6"/>
      <c r="E682" s="4"/>
      <c r="J682" s="6"/>
      <c r="M682" s="8"/>
      <c r="S682" s="4"/>
    </row>
    <row r="683">
      <c r="C683" s="2"/>
      <c r="D683" s="6"/>
      <c r="E683" s="4"/>
      <c r="J683" s="6"/>
      <c r="M683" s="8"/>
      <c r="S683" s="4"/>
    </row>
    <row r="684">
      <c r="C684" s="2"/>
      <c r="D684" s="6"/>
      <c r="E684" s="4"/>
      <c r="J684" s="6"/>
      <c r="M684" s="8"/>
      <c r="S684" s="4"/>
    </row>
    <row r="685">
      <c r="C685" s="2"/>
      <c r="D685" s="6"/>
      <c r="E685" s="4"/>
      <c r="J685" s="6"/>
      <c r="M685" s="8"/>
      <c r="S685" s="4"/>
    </row>
    <row r="686">
      <c r="C686" s="2"/>
      <c r="D686" s="6"/>
      <c r="E686" s="4"/>
      <c r="J686" s="6"/>
      <c r="M686" s="8"/>
      <c r="S686" s="4"/>
    </row>
    <row r="687">
      <c r="C687" s="2"/>
      <c r="D687" s="6"/>
      <c r="E687" s="4"/>
      <c r="J687" s="6"/>
      <c r="M687" s="8"/>
      <c r="S687" s="4"/>
    </row>
    <row r="688">
      <c r="C688" s="2"/>
      <c r="D688" s="6"/>
      <c r="E688" s="4"/>
      <c r="J688" s="6"/>
      <c r="M688" s="8"/>
      <c r="S688" s="4"/>
    </row>
    <row r="689">
      <c r="C689" s="2"/>
      <c r="D689" s="6"/>
      <c r="E689" s="4"/>
      <c r="J689" s="6"/>
      <c r="M689" s="8"/>
      <c r="S689" s="4"/>
    </row>
    <row r="690">
      <c r="C690" s="2"/>
      <c r="D690" s="6"/>
      <c r="E690" s="4"/>
      <c r="J690" s="6"/>
      <c r="M690" s="8"/>
      <c r="S690" s="4"/>
    </row>
    <row r="691">
      <c r="C691" s="2"/>
      <c r="D691" s="6"/>
      <c r="E691" s="4"/>
      <c r="J691" s="6"/>
      <c r="M691" s="8"/>
      <c r="S691" s="4"/>
    </row>
    <row r="692">
      <c r="C692" s="2"/>
      <c r="D692" s="6"/>
      <c r="E692" s="4"/>
      <c r="J692" s="6"/>
      <c r="M692" s="8"/>
      <c r="S692" s="4"/>
    </row>
    <row r="693">
      <c r="C693" s="2"/>
      <c r="D693" s="6"/>
      <c r="E693" s="4"/>
      <c r="J693" s="6"/>
      <c r="M693" s="8"/>
      <c r="S693" s="4"/>
    </row>
    <row r="694">
      <c r="C694" s="2"/>
      <c r="D694" s="6"/>
      <c r="E694" s="4"/>
      <c r="J694" s="6"/>
      <c r="M694" s="8"/>
      <c r="S694" s="4"/>
    </row>
    <row r="695">
      <c r="C695" s="2"/>
      <c r="D695" s="6"/>
      <c r="E695" s="4"/>
      <c r="J695" s="6"/>
      <c r="M695" s="8"/>
      <c r="S695" s="4"/>
    </row>
    <row r="696">
      <c r="C696" s="2"/>
      <c r="D696" s="6"/>
      <c r="E696" s="4"/>
      <c r="J696" s="6"/>
      <c r="M696" s="8"/>
      <c r="S696" s="4"/>
    </row>
    <row r="697">
      <c r="C697" s="2"/>
      <c r="D697" s="6"/>
      <c r="E697" s="4"/>
      <c r="J697" s="6"/>
      <c r="M697" s="8"/>
      <c r="S697" s="4"/>
    </row>
    <row r="698">
      <c r="C698" s="2"/>
      <c r="D698" s="6"/>
      <c r="E698" s="4"/>
      <c r="J698" s="6"/>
      <c r="M698" s="8"/>
      <c r="S698" s="4"/>
    </row>
    <row r="699">
      <c r="C699" s="2"/>
      <c r="D699" s="6"/>
      <c r="E699" s="4"/>
      <c r="J699" s="6"/>
      <c r="M699" s="8"/>
      <c r="S699" s="4"/>
    </row>
    <row r="700">
      <c r="C700" s="2"/>
      <c r="D700" s="6"/>
      <c r="E700" s="4"/>
      <c r="J700" s="6"/>
      <c r="M700" s="8"/>
      <c r="S700" s="4"/>
    </row>
    <row r="701">
      <c r="C701" s="2"/>
      <c r="D701" s="6"/>
      <c r="E701" s="4"/>
      <c r="J701" s="6"/>
      <c r="M701" s="8"/>
      <c r="S701" s="4"/>
    </row>
    <row r="702">
      <c r="C702" s="2"/>
      <c r="D702" s="6"/>
      <c r="E702" s="4"/>
      <c r="J702" s="6"/>
      <c r="M702" s="8"/>
      <c r="S702" s="4"/>
    </row>
    <row r="703">
      <c r="C703" s="2"/>
      <c r="D703" s="6"/>
      <c r="E703" s="4"/>
      <c r="J703" s="6"/>
      <c r="M703" s="8"/>
      <c r="S703" s="4"/>
    </row>
    <row r="704">
      <c r="C704" s="2"/>
      <c r="D704" s="6"/>
      <c r="E704" s="4"/>
      <c r="J704" s="6"/>
      <c r="M704" s="8"/>
      <c r="S704" s="4"/>
    </row>
    <row r="705">
      <c r="C705" s="2"/>
      <c r="D705" s="6"/>
      <c r="E705" s="4"/>
      <c r="J705" s="6"/>
      <c r="M705" s="8"/>
      <c r="S705" s="4"/>
    </row>
    <row r="706">
      <c r="C706" s="2"/>
      <c r="D706" s="6"/>
      <c r="E706" s="4"/>
      <c r="J706" s="6"/>
      <c r="M706" s="8"/>
      <c r="S706" s="4"/>
    </row>
    <row r="707">
      <c r="C707" s="2"/>
      <c r="D707" s="6"/>
      <c r="E707" s="4"/>
      <c r="J707" s="6"/>
      <c r="M707" s="8"/>
      <c r="S707" s="4"/>
    </row>
    <row r="708">
      <c r="C708" s="2"/>
      <c r="D708" s="6"/>
      <c r="E708" s="4"/>
      <c r="J708" s="6"/>
      <c r="M708" s="8"/>
      <c r="S708" s="4"/>
    </row>
    <row r="709">
      <c r="C709" s="2"/>
      <c r="D709" s="6"/>
      <c r="E709" s="4"/>
      <c r="J709" s="6"/>
      <c r="M709" s="8"/>
      <c r="S709" s="4"/>
    </row>
    <row r="710">
      <c r="C710" s="2"/>
      <c r="D710" s="6"/>
      <c r="E710" s="4"/>
      <c r="J710" s="6"/>
      <c r="M710" s="8"/>
      <c r="S710" s="4"/>
    </row>
    <row r="711">
      <c r="C711" s="2"/>
      <c r="D711" s="6"/>
      <c r="E711" s="4"/>
      <c r="J711" s="6"/>
      <c r="M711" s="8"/>
      <c r="S711" s="4"/>
    </row>
    <row r="712">
      <c r="C712" s="2"/>
      <c r="D712" s="6"/>
      <c r="E712" s="4"/>
      <c r="J712" s="6"/>
      <c r="M712" s="8"/>
      <c r="S712" s="4"/>
    </row>
    <row r="713">
      <c r="C713" s="2"/>
      <c r="D713" s="6"/>
      <c r="E713" s="4"/>
      <c r="J713" s="6"/>
      <c r="M713" s="8"/>
      <c r="S713" s="4"/>
    </row>
    <row r="714">
      <c r="C714" s="2"/>
      <c r="D714" s="6"/>
      <c r="E714" s="4"/>
      <c r="J714" s="6"/>
      <c r="M714" s="8"/>
      <c r="S714" s="4"/>
    </row>
    <row r="715">
      <c r="C715" s="2"/>
      <c r="D715" s="6"/>
      <c r="E715" s="4"/>
      <c r="J715" s="6"/>
      <c r="M715" s="8"/>
      <c r="S715" s="4"/>
    </row>
    <row r="716">
      <c r="C716" s="2"/>
      <c r="D716" s="6"/>
      <c r="E716" s="4"/>
      <c r="J716" s="6"/>
      <c r="M716" s="8"/>
      <c r="S716" s="4"/>
    </row>
    <row r="717">
      <c r="C717" s="2"/>
      <c r="D717" s="6"/>
      <c r="E717" s="4"/>
      <c r="J717" s="6"/>
      <c r="M717" s="8"/>
      <c r="S717" s="4"/>
    </row>
    <row r="718">
      <c r="C718" s="2"/>
      <c r="D718" s="6"/>
      <c r="E718" s="4"/>
      <c r="J718" s="6"/>
      <c r="M718" s="8"/>
      <c r="S718" s="4"/>
    </row>
    <row r="719">
      <c r="C719" s="2"/>
      <c r="D719" s="6"/>
      <c r="E719" s="4"/>
      <c r="J719" s="6"/>
      <c r="M719" s="8"/>
      <c r="S719" s="4"/>
    </row>
    <row r="720">
      <c r="C720" s="2"/>
      <c r="D720" s="6"/>
      <c r="E720" s="4"/>
      <c r="J720" s="6"/>
      <c r="M720" s="8"/>
      <c r="S720" s="4"/>
    </row>
    <row r="721">
      <c r="C721" s="2"/>
      <c r="D721" s="6"/>
      <c r="E721" s="4"/>
      <c r="J721" s="6"/>
      <c r="M721" s="8"/>
      <c r="S721" s="4"/>
    </row>
    <row r="722">
      <c r="C722" s="2"/>
      <c r="D722" s="6"/>
      <c r="E722" s="4"/>
      <c r="J722" s="6"/>
      <c r="M722" s="8"/>
      <c r="S722" s="4"/>
    </row>
    <row r="723">
      <c r="C723" s="2"/>
      <c r="D723" s="6"/>
      <c r="E723" s="4"/>
      <c r="J723" s="6"/>
      <c r="M723" s="8"/>
      <c r="S723" s="4"/>
    </row>
    <row r="724">
      <c r="C724" s="2"/>
      <c r="D724" s="6"/>
      <c r="E724" s="4"/>
      <c r="J724" s="6"/>
      <c r="M724" s="8"/>
      <c r="S724" s="4"/>
    </row>
    <row r="725">
      <c r="C725" s="2"/>
      <c r="D725" s="6"/>
      <c r="E725" s="4"/>
      <c r="J725" s="6"/>
      <c r="M725" s="8"/>
      <c r="S725" s="4"/>
    </row>
    <row r="726">
      <c r="C726" s="2"/>
      <c r="D726" s="6"/>
      <c r="E726" s="4"/>
      <c r="J726" s="6"/>
      <c r="M726" s="8"/>
      <c r="S726" s="4"/>
    </row>
    <row r="727">
      <c r="C727" s="2"/>
      <c r="D727" s="6"/>
      <c r="E727" s="4"/>
      <c r="J727" s="6"/>
      <c r="M727" s="8"/>
      <c r="S727" s="4"/>
    </row>
    <row r="728">
      <c r="C728" s="2"/>
      <c r="D728" s="6"/>
      <c r="E728" s="4"/>
      <c r="J728" s="6"/>
      <c r="M728" s="8"/>
      <c r="S728" s="4"/>
    </row>
    <row r="729">
      <c r="C729" s="2"/>
      <c r="D729" s="6"/>
      <c r="E729" s="4"/>
      <c r="J729" s="6"/>
      <c r="M729" s="8"/>
      <c r="S729" s="4"/>
    </row>
    <row r="730">
      <c r="C730" s="2"/>
      <c r="D730" s="6"/>
      <c r="E730" s="4"/>
      <c r="J730" s="6"/>
      <c r="M730" s="8"/>
      <c r="S730" s="4"/>
    </row>
    <row r="731">
      <c r="C731" s="2"/>
      <c r="D731" s="6"/>
      <c r="E731" s="4"/>
      <c r="J731" s="6"/>
      <c r="M731" s="8"/>
      <c r="S731" s="4"/>
    </row>
    <row r="732">
      <c r="C732" s="2"/>
      <c r="D732" s="6"/>
      <c r="E732" s="4"/>
      <c r="J732" s="6"/>
      <c r="M732" s="8"/>
      <c r="S732" s="4"/>
    </row>
    <row r="733">
      <c r="C733" s="2"/>
      <c r="D733" s="6"/>
      <c r="E733" s="4"/>
      <c r="J733" s="6"/>
      <c r="M733" s="8"/>
      <c r="S733" s="4"/>
    </row>
    <row r="734">
      <c r="C734" s="2"/>
      <c r="D734" s="6"/>
      <c r="E734" s="4"/>
      <c r="J734" s="6"/>
      <c r="M734" s="8"/>
      <c r="S734" s="4"/>
    </row>
    <row r="735">
      <c r="C735" s="2"/>
      <c r="D735" s="6"/>
      <c r="E735" s="4"/>
      <c r="J735" s="6"/>
      <c r="M735" s="8"/>
      <c r="S735" s="4"/>
    </row>
    <row r="736">
      <c r="C736" s="2"/>
      <c r="D736" s="6"/>
      <c r="E736" s="4"/>
      <c r="J736" s="6"/>
      <c r="M736" s="8"/>
      <c r="S736" s="4"/>
    </row>
    <row r="737">
      <c r="C737" s="2"/>
      <c r="D737" s="6"/>
      <c r="E737" s="4"/>
      <c r="J737" s="6"/>
      <c r="M737" s="8"/>
      <c r="S737" s="4"/>
    </row>
    <row r="738">
      <c r="C738" s="2"/>
      <c r="D738" s="6"/>
      <c r="E738" s="4"/>
      <c r="J738" s="6"/>
      <c r="M738" s="8"/>
      <c r="S738" s="4"/>
    </row>
    <row r="739">
      <c r="C739" s="2"/>
      <c r="D739" s="6"/>
      <c r="E739" s="4"/>
      <c r="J739" s="6"/>
      <c r="M739" s="8"/>
      <c r="S739" s="4"/>
    </row>
    <row r="740">
      <c r="C740" s="2"/>
      <c r="D740" s="6"/>
      <c r="E740" s="4"/>
      <c r="J740" s="6"/>
      <c r="M740" s="8"/>
      <c r="S740" s="4"/>
    </row>
    <row r="741">
      <c r="C741" s="2"/>
      <c r="D741" s="6"/>
      <c r="E741" s="4"/>
      <c r="J741" s="6"/>
      <c r="M741" s="8"/>
      <c r="S741" s="4"/>
    </row>
    <row r="742">
      <c r="C742" s="2"/>
      <c r="D742" s="6"/>
      <c r="E742" s="4"/>
      <c r="J742" s="6"/>
      <c r="M742" s="8"/>
      <c r="S742" s="4"/>
    </row>
    <row r="743">
      <c r="C743" s="2"/>
      <c r="D743" s="6"/>
      <c r="E743" s="4"/>
      <c r="J743" s="6"/>
      <c r="M743" s="8"/>
      <c r="S743" s="4"/>
    </row>
    <row r="744">
      <c r="C744" s="2"/>
      <c r="D744" s="6"/>
      <c r="E744" s="4"/>
      <c r="J744" s="6"/>
      <c r="M744" s="8"/>
      <c r="S744" s="4"/>
    </row>
    <row r="745">
      <c r="C745" s="2"/>
      <c r="D745" s="6"/>
      <c r="E745" s="4"/>
      <c r="J745" s="6"/>
      <c r="M745" s="8"/>
      <c r="S745" s="4"/>
    </row>
    <row r="746">
      <c r="C746" s="2"/>
      <c r="D746" s="6"/>
      <c r="E746" s="4"/>
      <c r="J746" s="6"/>
      <c r="M746" s="8"/>
      <c r="S746" s="4"/>
    </row>
    <row r="747">
      <c r="C747" s="2"/>
      <c r="D747" s="6"/>
      <c r="E747" s="4"/>
      <c r="J747" s="6"/>
      <c r="M747" s="8"/>
      <c r="S747" s="4"/>
    </row>
    <row r="748">
      <c r="C748" s="2"/>
      <c r="D748" s="6"/>
      <c r="E748" s="4"/>
      <c r="J748" s="6"/>
      <c r="M748" s="8"/>
      <c r="S748" s="4"/>
    </row>
    <row r="749">
      <c r="C749" s="2"/>
      <c r="D749" s="6"/>
      <c r="E749" s="4"/>
      <c r="J749" s="6"/>
      <c r="M749" s="8"/>
      <c r="S749" s="4"/>
    </row>
    <row r="750">
      <c r="C750" s="2"/>
      <c r="D750" s="6"/>
      <c r="E750" s="4"/>
      <c r="J750" s="6"/>
      <c r="M750" s="8"/>
      <c r="S750" s="4"/>
    </row>
    <row r="751">
      <c r="C751" s="2"/>
      <c r="D751" s="6"/>
      <c r="E751" s="4"/>
      <c r="J751" s="6"/>
      <c r="M751" s="8"/>
      <c r="S751" s="4"/>
    </row>
    <row r="752">
      <c r="C752" s="2"/>
      <c r="D752" s="6"/>
      <c r="E752" s="4"/>
      <c r="J752" s="6"/>
      <c r="M752" s="8"/>
      <c r="S752" s="4"/>
    </row>
    <row r="753">
      <c r="C753" s="2"/>
      <c r="D753" s="6"/>
      <c r="E753" s="4"/>
      <c r="J753" s="6"/>
      <c r="M753" s="8"/>
      <c r="S753" s="4"/>
    </row>
    <row r="754">
      <c r="C754" s="2"/>
      <c r="D754" s="6"/>
      <c r="E754" s="4"/>
      <c r="J754" s="6"/>
      <c r="M754" s="8"/>
      <c r="S754" s="4"/>
    </row>
    <row r="755">
      <c r="C755" s="2"/>
      <c r="D755" s="6"/>
      <c r="E755" s="4"/>
      <c r="J755" s="6"/>
      <c r="M755" s="8"/>
      <c r="S755" s="4"/>
    </row>
    <row r="756">
      <c r="C756" s="2"/>
      <c r="D756" s="6"/>
      <c r="E756" s="4"/>
      <c r="J756" s="6"/>
      <c r="M756" s="8"/>
      <c r="S756" s="4"/>
    </row>
    <row r="757">
      <c r="C757" s="2"/>
      <c r="D757" s="6"/>
      <c r="E757" s="4"/>
      <c r="J757" s="6"/>
      <c r="M757" s="8"/>
      <c r="S757" s="4"/>
    </row>
    <row r="758">
      <c r="C758" s="2"/>
      <c r="D758" s="6"/>
      <c r="E758" s="4"/>
      <c r="J758" s="6"/>
      <c r="M758" s="8"/>
      <c r="S758" s="4"/>
    </row>
    <row r="759">
      <c r="C759" s="2"/>
      <c r="D759" s="6"/>
      <c r="E759" s="4"/>
      <c r="J759" s="6"/>
      <c r="M759" s="8"/>
      <c r="S759" s="4"/>
    </row>
    <row r="760">
      <c r="C760" s="2"/>
      <c r="D760" s="6"/>
      <c r="E760" s="4"/>
      <c r="J760" s="6"/>
      <c r="M760" s="8"/>
      <c r="S760" s="4"/>
    </row>
    <row r="761">
      <c r="C761" s="2"/>
      <c r="D761" s="6"/>
      <c r="E761" s="4"/>
      <c r="J761" s="6"/>
      <c r="M761" s="8"/>
      <c r="S761" s="4"/>
    </row>
    <row r="762">
      <c r="C762" s="2"/>
      <c r="D762" s="6"/>
      <c r="E762" s="4"/>
      <c r="J762" s="6"/>
      <c r="M762" s="8"/>
      <c r="S762" s="4"/>
    </row>
    <row r="763">
      <c r="C763" s="2"/>
      <c r="D763" s="6"/>
      <c r="E763" s="4"/>
      <c r="J763" s="6"/>
      <c r="M763" s="8"/>
      <c r="S763" s="4"/>
    </row>
    <row r="764">
      <c r="C764" s="2"/>
      <c r="D764" s="6"/>
      <c r="E764" s="4"/>
      <c r="J764" s="6"/>
      <c r="M764" s="8"/>
      <c r="S764" s="4"/>
    </row>
    <row r="765">
      <c r="C765" s="2"/>
      <c r="D765" s="6"/>
      <c r="E765" s="4"/>
      <c r="J765" s="6"/>
      <c r="M765" s="8"/>
      <c r="S765" s="4"/>
    </row>
    <row r="766">
      <c r="C766" s="2"/>
      <c r="D766" s="6"/>
      <c r="E766" s="4"/>
      <c r="J766" s="6"/>
      <c r="M766" s="8"/>
      <c r="S766" s="4"/>
    </row>
    <row r="767">
      <c r="C767" s="2"/>
      <c r="D767" s="6"/>
      <c r="E767" s="4"/>
      <c r="J767" s="6"/>
      <c r="M767" s="8"/>
      <c r="S767" s="4"/>
    </row>
    <row r="768">
      <c r="C768" s="2"/>
      <c r="D768" s="6"/>
      <c r="E768" s="4"/>
      <c r="J768" s="6"/>
      <c r="M768" s="8"/>
      <c r="S768" s="4"/>
    </row>
    <row r="769">
      <c r="C769" s="2"/>
      <c r="D769" s="6"/>
      <c r="E769" s="4"/>
      <c r="J769" s="6"/>
      <c r="M769" s="8"/>
      <c r="S769" s="4"/>
    </row>
    <row r="770">
      <c r="C770" s="2"/>
      <c r="D770" s="6"/>
      <c r="E770" s="4"/>
      <c r="J770" s="6"/>
      <c r="M770" s="8"/>
      <c r="S770" s="4"/>
    </row>
    <row r="771">
      <c r="C771" s="2"/>
      <c r="D771" s="6"/>
      <c r="E771" s="4"/>
      <c r="J771" s="6"/>
      <c r="M771" s="8"/>
      <c r="S771" s="4"/>
    </row>
    <row r="772">
      <c r="C772" s="2"/>
      <c r="D772" s="6"/>
      <c r="E772" s="4"/>
      <c r="J772" s="6"/>
      <c r="M772" s="8"/>
      <c r="S772" s="4"/>
    </row>
    <row r="773">
      <c r="C773" s="2"/>
      <c r="D773" s="6"/>
      <c r="E773" s="4"/>
      <c r="J773" s="6"/>
      <c r="M773" s="8"/>
      <c r="S773" s="4"/>
    </row>
    <row r="774">
      <c r="C774" s="2"/>
      <c r="D774" s="6"/>
      <c r="E774" s="4"/>
      <c r="J774" s="6"/>
      <c r="M774" s="8"/>
      <c r="S774" s="4"/>
    </row>
    <row r="775">
      <c r="C775" s="2"/>
      <c r="D775" s="6"/>
      <c r="E775" s="4"/>
      <c r="J775" s="6"/>
      <c r="M775" s="8"/>
      <c r="S775" s="4"/>
    </row>
    <row r="776">
      <c r="C776" s="2"/>
      <c r="D776" s="6"/>
      <c r="E776" s="4"/>
      <c r="J776" s="6"/>
      <c r="M776" s="8"/>
      <c r="S776" s="4"/>
    </row>
    <row r="777">
      <c r="C777" s="2"/>
      <c r="D777" s="6"/>
      <c r="E777" s="4"/>
      <c r="J777" s="6"/>
      <c r="M777" s="8"/>
      <c r="S777" s="4"/>
    </row>
    <row r="778">
      <c r="C778" s="2"/>
      <c r="D778" s="6"/>
      <c r="E778" s="4"/>
      <c r="J778" s="6"/>
      <c r="M778" s="8"/>
      <c r="S778" s="4"/>
    </row>
    <row r="779">
      <c r="C779" s="2"/>
      <c r="D779" s="6"/>
      <c r="E779" s="4"/>
      <c r="J779" s="6"/>
      <c r="M779" s="8"/>
      <c r="S779" s="4"/>
    </row>
    <row r="780">
      <c r="C780" s="2"/>
      <c r="D780" s="6"/>
      <c r="E780" s="4"/>
      <c r="J780" s="6"/>
      <c r="M780" s="8"/>
      <c r="S780" s="4"/>
    </row>
    <row r="781">
      <c r="C781" s="2"/>
      <c r="D781" s="6"/>
      <c r="E781" s="4"/>
      <c r="J781" s="6"/>
      <c r="M781" s="8"/>
      <c r="S781" s="4"/>
    </row>
    <row r="782">
      <c r="C782" s="2"/>
      <c r="D782" s="6"/>
      <c r="E782" s="4"/>
      <c r="J782" s="6"/>
      <c r="M782" s="8"/>
      <c r="S782" s="4"/>
    </row>
    <row r="783">
      <c r="C783" s="2"/>
      <c r="D783" s="6"/>
      <c r="E783" s="4"/>
      <c r="J783" s="6"/>
      <c r="M783" s="8"/>
      <c r="S783" s="4"/>
    </row>
    <row r="784">
      <c r="C784" s="2"/>
      <c r="D784" s="6"/>
      <c r="E784" s="4"/>
      <c r="J784" s="6"/>
      <c r="M784" s="8"/>
      <c r="S784" s="4"/>
    </row>
    <row r="785">
      <c r="C785" s="2"/>
      <c r="D785" s="6"/>
      <c r="E785" s="4"/>
      <c r="J785" s="6"/>
      <c r="M785" s="8"/>
      <c r="S785" s="4"/>
    </row>
    <row r="786">
      <c r="C786" s="2"/>
      <c r="D786" s="6"/>
      <c r="E786" s="4"/>
      <c r="J786" s="6"/>
      <c r="M786" s="8"/>
      <c r="S786" s="4"/>
    </row>
    <row r="787">
      <c r="C787" s="2"/>
      <c r="D787" s="6"/>
      <c r="E787" s="4"/>
      <c r="J787" s="6"/>
      <c r="M787" s="8"/>
      <c r="S787" s="4"/>
    </row>
    <row r="788">
      <c r="C788" s="2"/>
      <c r="D788" s="6"/>
      <c r="E788" s="4"/>
      <c r="J788" s="6"/>
      <c r="M788" s="8"/>
      <c r="S788" s="4"/>
    </row>
    <row r="789">
      <c r="C789" s="2"/>
      <c r="D789" s="6"/>
      <c r="E789" s="4"/>
      <c r="J789" s="6"/>
      <c r="M789" s="8"/>
      <c r="S789" s="4"/>
    </row>
    <row r="790">
      <c r="C790" s="2"/>
      <c r="D790" s="6"/>
      <c r="E790" s="4"/>
      <c r="J790" s="6"/>
      <c r="M790" s="8"/>
      <c r="S790" s="4"/>
    </row>
    <row r="791">
      <c r="C791" s="2"/>
      <c r="D791" s="6"/>
      <c r="E791" s="4"/>
      <c r="J791" s="6"/>
      <c r="M791" s="8"/>
      <c r="S791" s="4"/>
    </row>
    <row r="792">
      <c r="C792" s="2"/>
      <c r="D792" s="6"/>
      <c r="E792" s="4"/>
      <c r="J792" s="6"/>
      <c r="M792" s="8"/>
      <c r="S792" s="4"/>
    </row>
    <row r="793">
      <c r="C793" s="2"/>
      <c r="D793" s="6"/>
      <c r="E793" s="4"/>
      <c r="J793" s="6"/>
      <c r="M793" s="8"/>
      <c r="S793" s="4"/>
    </row>
    <row r="794">
      <c r="C794" s="2"/>
      <c r="D794" s="6"/>
      <c r="E794" s="4"/>
      <c r="J794" s="6"/>
      <c r="M794" s="8"/>
      <c r="S794" s="4"/>
    </row>
    <row r="795">
      <c r="C795" s="2"/>
      <c r="D795" s="6"/>
      <c r="E795" s="4"/>
      <c r="J795" s="6"/>
      <c r="M795" s="8"/>
      <c r="S795" s="4"/>
    </row>
    <row r="796">
      <c r="C796" s="2"/>
      <c r="D796" s="6"/>
      <c r="E796" s="4"/>
      <c r="J796" s="6"/>
      <c r="M796" s="8"/>
      <c r="S796" s="4"/>
    </row>
    <row r="797">
      <c r="C797" s="2"/>
      <c r="D797" s="6"/>
      <c r="E797" s="4"/>
      <c r="J797" s="6"/>
      <c r="M797" s="8"/>
      <c r="S797" s="4"/>
    </row>
    <row r="798">
      <c r="C798" s="2"/>
      <c r="D798" s="6"/>
      <c r="E798" s="4"/>
      <c r="J798" s="6"/>
      <c r="M798" s="8"/>
      <c r="S798" s="4"/>
    </row>
    <row r="799">
      <c r="C799" s="2"/>
      <c r="D799" s="6"/>
      <c r="E799" s="4"/>
      <c r="J799" s="6"/>
      <c r="M799" s="8"/>
      <c r="S799" s="4"/>
    </row>
    <row r="800">
      <c r="C800" s="2"/>
      <c r="D800" s="6"/>
      <c r="E800" s="4"/>
      <c r="J800" s="6"/>
      <c r="M800" s="8"/>
      <c r="S800" s="4"/>
    </row>
    <row r="801">
      <c r="C801" s="2"/>
      <c r="D801" s="6"/>
      <c r="E801" s="4"/>
      <c r="J801" s="6"/>
      <c r="M801" s="8"/>
      <c r="S801" s="4"/>
    </row>
    <row r="802">
      <c r="C802" s="2"/>
      <c r="D802" s="6"/>
      <c r="E802" s="4"/>
      <c r="J802" s="6"/>
      <c r="M802" s="8"/>
      <c r="S802" s="4"/>
    </row>
    <row r="803">
      <c r="C803" s="2"/>
      <c r="D803" s="6"/>
      <c r="E803" s="4"/>
      <c r="J803" s="6"/>
      <c r="M803" s="8"/>
      <c r="S803" s="4"/>
    </row>
    <row r="804">
      <c r="C804" s="2"/>
      <c r="D804" s="6"/>
      <c r="E804" s="4"/>
      <c r="J804" s="6"/>
      <c r="M804" s="8"/>
      <c r="S804" s="4"/>
    </row>
    <row r="805">
      <c r="C805" s="2"/>
      <c r="D805" s="6"/>
      <c r="E805" s="4"/>
      <c r="J805" s="6"/>
      <c r="M805" s="8"/>
      <c r="S805" s="4"/>
    </row>
    <row r="806">
      <c r="C806" s="2"/>
      <c r="D806" s="6"/>
      <c r="E806" s="4"/>
      <c r="J806" s="6"/>
      <c r="M806" s="8"/>
      <c r="S806" s="4"/>
    </row>
    <row r="807">
      <c r="C807" s="2"/>
      <c r="D807" s="6"/>
      <c r="E807" s="4"/>
      <c r="J807" s="6"/>
      <c r="M807" s="8"/>
      <c r="S807" s="4"/>
    </row>
    <row r="808">
      <c r="C808" s="2"/>
      <c r="D808" s="6"/>
      <c r="E808" s="4"/>
      <c r="J808" s="6"/>
      <c r="M808" s="8"/>
      <c r="S808" s="4"/>
    </row>
    <row r="809">
      <c r="C809" s="2"/>
      <c r="D809" s="6"/>
      <c r="E809" s="4"/>
      <c r="J809" s="6"/>
      <c r="M809" s="8"/>
      <c r="S809" s="4"/>
    </row>
    <row r="810">
      <c r="C810" s="2"/>
      <c r="D810" s="6"/>
      <c r="E810" s="4"/>
      <c r="J810" s="6"/>
      <c r="M810" s="8"/>
      <c r="S810" s="4"/>
    </row>
    <row r="811">
      <c r="C811" s="2"/>
      <c r="D811" s="6"/>
      <c r="E811" s="4"/>
      <c r="J811" s="6"/>
      <c r="M811" s="8"/>
      <c r="S811" s="4"/>
    </row>
    <row r="812">
      <c r="C812" s="2"/>
      <c r="D812" s="6"/>
      <c r="E812" s="4"/>
      <c r="J812" s="6"/>
      <c r="M812" s="8"/>
      <c r="S812" s="4"/>
    </row>
    <row r="813">
      <c r="C813" s="2"/>
      <c r="D813" s="6"/>
      <c r="E813" s="4"/>
      <c r="J813" s="6"/>
      <c r="M813" s="8"/>
      <c r="S813" s="4"/>
    </row>
    <row r="814">
      <c r="C814" s="2"/>
      <c r="D814" s="6"/>
      <c r="E814" s="4"/>
      <c r="J814" s="6"/>
      <c r="M814" s="8"/>
      <c r="S814" s="4"/>
    </row>
    <row r="815">
      <c r="C815" s="2"/>
      <c r="D815" s="6"/>
      <c r="E815" s="4"/>
      <c r="J815" s="6"/>
      <c r="M815" s="8"/>
      <c r="S815" s="4"/>
    </row>
    <row r="816">
      <c r="C816" s="2"/>
      <c r="D816" s="6"/>
      <c r="E816" s="4"/>
      <c r="J816" s="6"/>
      <c r="M816" s="8"/>
      <c r="S816" s="4"/>
    </row>
    <row r="817">
      <c r="C817" s="2"/>
      <c r="D817" s="6"/>
      <c r="E817" s="4"/>
      <c r="J817" s="6"/>
      <c r="M817" s="8"/>
      <c r="S817" s="4"/>
    </row>
    <row r="818">
      <c r="C818" s="2"/>
      <c r="D818" s="6"/>
      <c r="E818" s="4"/>
      <c r="J818" s="6"/>
      <c r="M818" s="8"/>
      <c r="S818" s="4"/>
    </row>
    <row r="819">
      <c r="C819" s="2"/>
      <c r="D819" s="6"/>
      <c r="E819" s="4"/>
      <c r="J819" s="6"/>
      <c r="M819" s="8"/>
      <c r="S819" s="4"/>
    </row>
    <row r="820">
      <c r="C820" s="2"/>
      <c r="D820" s="6"/>
      <c r="E820" s="4"/>
      <c r="J820" s="6"/>
      <c r="M820" s="8"/>
      <c r="S820" s="4"/>
    </row>
    <row r="821">
      <c r="C821" s="2"/>
      <c r="D821" s="6"/>
      <c r="E821" s="4"/>
      <c r="J821" s="6"/>
      <c r="M821" s="8"/>
      <c r="S821" s="4"/>
    </row>
    <row r="822">
      <c r="C822" s="2"/>
      <c r="D822" s="6"/>
      <c r="E822" s="4"/>
      <c r="J822" s="6"/>
      <c r="M822" s="8"/>
      <c r="S822" s="4"/>
    </row>
    <row r="823">
      <c r="C823" s="2"/>
      <c r="D823" s="6"/>
      <c r="E823" s="4"/>
      <c r="J823" s="6"/>
      <c r="M823" s="8"/>
      <c r="S823" s="4"/>
    </row>
    <row r="824">
      <c r="C824" s="2"/>
      <c r="D824" s="6"/>
      <c r="E824" s="4"/>
      <c r="J824" s="6"/>
      <c r="M824" s="8"/>
      <c r="S824" s="4"/>
    </row>
    <row r="825">
      <c r="C825" s="2"/>
      <c r="D825" s="6"/>
      <c r="E825" s="4"/>
      <c r="J825" s="6"/>
      <c r="M825" s="8"/>
      <c r="S825" s="4"/>
    </row>
    <row r="826">
      <c r="C826" s="2"/>
      <c r="D826" s="6"/>
      <c r="E826" s="4"/>
      <c r="J826" s="6"/>
      <c r="M826" s="8"/>
      <c r="S826" s="4"/>
    </row>
    <row r="827">
      <c r="C827" s="2"/>
      <c r="D827" s="6"/>
      <c r="E827" s="4"/>
      <c r="J827" s="6"/>
      <c r="M827" s="8"/>
      <c r="S827" s="4"/>
    </row>
    <row r="828">
      <c r="C828" s="2"/>
      <c r="D828" s="6"/>
      <c r="E828" s="4"/>
      <c r="J828" s="6"/>
      <c r="M828" s="8"/>
      <c r="S828" s="4"/>
    </row>
    <row r="829">
      <c r="C829" s="2"/>
      <c r="D829" s="6"/>
      <c r="E829" s="4"/>
      <c r="J829" s="6"/>
      <c r="M829" s="8"/>
      <c r="S829" s="4"/>
    </row>
    <row r="830">
      <c r="C830" s="2"/>
      <c r="D830" s="6"/>
      <c r="E830" s="4"/>
      <c r="J830" s="6"/>
      <c r="M830" s="8"/>
      <c r="S830" s="4"/>
    </row>
    <row r="831">
      <c r="C831" s="2"/>
      <c r="D831" s="6"/>
      <c r="E831" s="4"/>
      <c r="J831" s="6"/>
      <c r="M831" s="8"/>
      <c r="S831" s="4"/>
    </row>
    <row r="832">
      <c r="C832" s="2"/>
      <c r="D832" s="6"/>
      <c r="E832" s="4"/>
      <c r="J832" s="6"/>
      <c r="M832" s="8"/>
      <c r="S832" s="4"/>
    </row>
    <row r="833">
      <c r="C833" s="2"/>
      <c r="D833" s="6"/>
      <c r="E833" s="4"/>
      <c r="J833" s="6"/>
      <c r="M833" s="8"/>
      <c r="S833" s="4"/>
    </row>
    <row r="834">
      <c r="C834" s="2"/>
      <c r="D834" s="6"/>
      <c r="E834" s="4"/>
      <c r="J834" s="6"/>
      <c r="M834" s="8"/>
      <c r="S834" s="4"/>
    </row>
    <row r="835">
      <c r="C835" s="2"/>
      <c r="D835" s="6"/>
      <c r="E835" s="4"/>
      <c r="J835" s="6"/>
      <c r="M835" s="8"/>
      <c r="S835" s="4"/>
    </row>
    <row r="836">
      <c r="C836" s="2"/>
      <c r="D836" s="6"/>
      <c r="E836" s="4"/>
      <c r="J836" s="6"/>
      <c r="M836" s="8"/>
      <c r="S836" s="4"/>
    </row>
    <row r="837">
      <c r="C837" s="2"/>
      <c r="D837" s="6"/>
      <c r="E837" s="4"/>
      <c r="J837" s="6"/>
      <c r="M837" s="8"/>
      <c r="S837" s="4"/>
    </row>
    <row r="838">
      <c r="C838" s="2"/>
      <c r="D838" s="6"/>
      <c r="E838" s="4"/>
      <c r="J838" s="6"/>
      <c r="M838" s="8"/>
      <c r="S838" s="4"/>
    </row>
    <row r="839">
      <c r="C839" s="2"/>
      <c r="D839" s="6"/>
      <c r="E839" s="4"/>
      <c r="J839" s="6"/>
      <c r="M839" s="8"/>
      <c r="S839" s="4"/>
    </row>
    <row r="840">
      <c r="C840" s="2"/>
      <c r="D840" s="6"/>
      <c r="E840" s="4"/>
      <c r="J840" s="6"/>
      <c r="M840" s="8"/>
      <c r="S840" s="4"/>
    </row>
    <row r="841">
      <c r="C841" s="2"/>
      <c r="D841" s="6"/>
      <c r="E841" s="4"/>
      <c r="J841" s="6"/>
      <c r="M841" s="8"/>
      <c r="S841" s="4"/>
    </row>
    <row r="842">
      <c r="C842" s="2"/>
      <c r="D842" s="6"/>
      <c r="E842" s="4"/>
      <c r="J842" s="6"/>
      <c r="M842" s="8"/>
      <c r="S842" s="4"/>
    </row>
    <row r="843">
      <c r="C843" s="2"/>
      <c r="D843" s="6"/>
      <c r="E843" s="4"/>
      <c r="J843" s="6"/>
      <c r="M843" s="8"/>
      <c r="S843" s="4"/>
    </row>
    <row r="844">
      <c r="C844" s="2"/>
      <c r="D844" s="6"/>
      <c r="E844" s="4"/>
      <c r="J844" s="6"/>
      <c r="M844" s="8"/>
      <c r="S844" s="4"/>
    </row>
    <row r="845">
      <c r="C845" s="2"/>
      <c r="D845" s="6"/>
      <c r="E845" s="4"/>
      <c r="J845" s="6"/>
      <c r="M845" s="8"/>
      <c r="S845" s="4"/>
    </row>
    <row r="846">
      <c r="C846" s="2"/>
      <c r="D846" s="6"/>
      <c r="E846" s="4"/>
      <c r="J846" s="6"/>
      <c r="M846" s="8"/>
      <c r="S846" s="4"/>
    </row>
    <row r="847">
      <c r="C847" s="2"/>
      <c r="D847" s="6"/>
      <c r="E847" s="4"/>
      <c r="J847" s="6"/>
      <c r="M847" s="8"/>
      <c r="S847" s="4"/>
    </row>
    <row r="848">
      <c r="C848" s="2"/>
      <c r="D848" s="6"/>
      <c r="E848" s="4"/>
      <c r="J848" s="6"/>
      <c r="M848" s="8"/>
      <c r="S848" s="4"/>
    </row>
    <row r="849">
      <c r="C849" s="2"/>
      <c r="D849" s="6"/>
      <c r="E849" s="4"/>
      <c r="J849" s="6"/>
      <c r="M849" s="8"/>
      <c r="S849" s="4"/>
    </row>
    <row r="850">
      <c r="C850" s="2"/>
      <c r="D850" s="6"/>
      <c r="E850" s="4"/>
      <c r="J850" s="6"/>
      <c r="M850" s="8"/>
      <c r="S850" s="4"/>
    </row>
    <row r="851">
      <c r="C851" s="2"/>
      <c r="D851" s="6"/>
      <c r="E851" s="4"/>
      <c r="J851" s="6"/>
      <c r="M851" s="8"/>
      <c r="S851" s="4"/>
    </row>
    <row r="852">
      <c r="C852" s="2"/>
      <c r="D852" s="6"/>
      <c r="E852" s="4"/>
      <c r="J852" s="6"/>
      <c r="M852" s="8"/>
      <c r="S852" s="4"/>
    </row>
    <row r="853">
      <c r="C853" s="2"/>
      <c r="D853" s="6"/>
      <c r="E853" s="4"/>
      <c r="J853" s="6"/>
      <c r="M853" s="8"/>
      <c r="S853" s="4"/>
    </row>
    <row r="854">
      <c r="C854" s="2"/>
      <c r="D854" s="6"/>
      <c r="E854" s="4"/>
      <c r="J854" s="6"/>
      <c r="M854" s="8"/>
      <c r="S854" s="4"/>
    </row>
    <row r="855">
      <c r="C855" s="2"/>
      <c r="D855" s="6"/>
      <c r="E855" s="4"/>
      <c r="J855" s="6"/>
      <c r="M855" s="8"/>
      <c r="S855" s="4"/>
    </row>
    <row r="856">
      <c r="C856" s="2"/>
      <c r="D856" s="6"/>
      <c r="E856" s="4"/>
      <c r="J856" s="6"/>
      <c r="M856" s="8"/>
      <c r="S856" s="4"/>
    </row>
    <row r="857">
      <c r="C857" s="2"/>
      <c r="D857" s="6"/>
      <c r="E857" s="4"/>
      <c r="J857" s="6"/>
      <c r="M857" s="8"/>
      <c r="S857" s="4"/>
    </row>
    <row r="858">
      <c r="C858" s="2"/>
      <c r="D858" s="6"/>
      <c r="E858" s="4"/>
      <c r="J858" s="6"/>
      <c r="M858" s="8"/>
      <c r="S858" s="4"/>
    </row>
    <row r="859">
      <c r="C859" s="2"/>
      <c r="D859" s="6"/>
      <c r="E859" s="4"/>
      <c r="J859" s="6"/>
      <c r="M859" s="8"/>
      <c r="S859" s="4"/>
    </row>
    <row r="860">
      <c r="C860" s="2"/>
      <c r="D860" s="6"/>
      <c r="E860" s="4"/>
      <c r="J860" s="6"/>
      <c r="M860" s="8"/>
      <c r="S860" s="4"/>
    </row>
    <row r="861">
      <c r="C861" s="2"/>
      <c r="D861" s="6"/>
      <c r="E861" s="4"/>
      <c r="J861" s="6"/>
      <c r="M861" s="8"/>
      <c r="S861" s="4"/>
    </row>
    <row r="862">
      <c r="C862" s="2"/>
      <c r="D862" s="6"/>
      <c r="E862" s="4"/>
      <c r="J862" s="6"/>
      <c r="M862" s="8"/>
      <c r="S862" s="4"/>
    </row>
    <row r="863">
      <c r="C863" s="2"/>
      <c r="D863" s="6"/>
      <c r="E863" s="4"/>
      <c r="J863" s="6"/>
      <c r="M863" s="8"/>
      <c r="S863" s="4"/>
    </row>
    <row r="864">
      <c r="C864" s="2"/>
      <c r="D864" s="6"/>
      <c r="E864" s="4"/>
      <c r="J864" s="6"/>
      <c r="M864" s="8"/>
      <c r="S864" s="4"/>
    </row>
    <row r="865">
      <c r="C865" s="2"/>
      <c r="D865" s="6"/>
      <c r="E865" s="4"/>
      <c r="J865" s="6"/>
      <c r="M865" s="8"/>
      <c r="S865" s="4"/>
    </row>
    <row r="866">
      <c r="C866" s="2"/>
      <c r="D866" s="6"/>
      <c r="E866" s="4"/>
      <c r="J866" s="6"/>
      <c r="M866" s="8"/>
      <c r="S866" s="4"/>
    </row>
    <row r="867">
      <c r="C867" s="2"/>
      <c r="D867" s="6"/>
      <c r="E867" s="4"/>
      <c r="J867" s="6"/>
      <c r="M867" s="8"/>
      <c r="S867" s="4"/>
    </row>
    <row r="868">
      <c r="C868" s="2"/>
      <c r="D868" s="6"/>
      <c r="E868" s="4"/>
      <c r="J868" s="6"/>
      <c r="M868" s="8"/>
      <c r="S868" s="4"/>
    </row>
    <row r="869">
      <c r="C869" s="2"/>
      <c r="D869" s="6"/>
      <c r="E869" s="4"/>
      <c r="J869" s="6"/>
      <c r="M869" s="8"/>
      <c r="S869" s="4"/>
    </row>
    <row r="870">
      <c r="C870" s="2"/>
      <c r="D870" s="6"/>
      <c r="E870" s="4"/>
      <c r="J870" s="6"/>
      <c r="M870" s="8"/>
      <c r="S870" s="4"/>
    </row>
    <row r="871">
      <c r="C871" s="2"/>
      <c r="D871" s="6"/>
      <c r="E871" s="4"/>
      <c r="J871" s="6"/>
      <c r="M871" s="8"/>
      <c r="S871" s="4"/>
    </row>
    <row r="872">
      <c r="C872" s="2"/>
      <c r="D872" s="6"/>
      <c r="E872" s="4"/>
      <c r="J872" s="6"/>
      <c r="M872" s="8"/>
      <c r="S872" s="4"/>
    </row>
    <row r="873">
      <c r="C873" s="2"/>
      <c r="D873" s="6"/>
      <c r="E873" s="4"/>
      <c r="J873" s="6"/>
      <c r="M873" s="8"/>
      <c r="S873" s="4"/>
    </row>
    <row r="874">
      <c r="C874" s="2"/>
      <c r="D874" s="6"/>
      <c r="E874" s="4"/>
      <c r="J874" s="6"/>
      <c r="M874" s="8"/>
      <c r="S874" s="4"/>
    </row>
    <row r="875">
      <c r="C875" s="2"/>
      <c r="D875" s="6"/>
      <c r="E875" s="4"/>
      <c r="J875" s="6"/>
      <c r="M875" s="8"/>
      <c r="S875" s="4"/>
    </row>
    <row r="876">
      <c r="C876" s="2"/>
      <c r="D876" s="6"/>
      <c r="E876" s="4"/>
      <c r="J876" s="6"/>
      <c r="M876" s="8"/>
      <c r="S876" s="4"/>
    </row>
    <row r="877">
      <c r="C877" s="2"/>
      <c r="D877" s="6"/>
      <c r="E877" s="4"/>
      <c r="J877" s="6"/>
      <c r="M877" s="8"/>
      <c r="S877" s="4"/>
    </row>
    <row r="878">
      <c r="C878" s="2"/>
      <c r="D878" s="6"/>
      <c r="E878" s="4"/>
      <c r="J878" s="6"/>
      <c r="M878" s="8"/>
      <c r="S878" s="4"/>
    </row>
    <row r="879">
      <c r="C879" s="2"/>
      <c r="D879" s="6"/>
      <c r="E879" s="4"/>
      <c r="J879" s="6"/>
      <c r="M879" s="8"/>
      <c r="S879" s="4"/>
    </row>
    <row r="880">
      <c r="C880" s="2"/>
      <c r="D880" s="6"/>
      <c r="E880" s="4"/>
      <c r="J880" s="6"/>
      <c r="M880" s="8"/>
      <c r="S880" s="4"/>
    </row>
    <row r="881">
      <c r="C881" s="2"/>
      <c r="D881" s="6"/>
      <c r="E881" s="4"/>
      <c r="J881" s="6"/>
      <c r="M881" s="8"/>
      <c r="S881" s="4"/>
    </row>
    <row r="882">
      <c r="C882" s="2"/>
      <c r="D882" s="6"/>
      <c r="E882" s="4"/>
      <c r="J882" s="6"/>
      <c r="M882" s="8"/>
      <c r="S882" s="4"/>
    </row>
    <row r="883">
      <c r="C883" s="2"/>
      <c r="D883" s="6"/>
      <c r="E883" s="4"/>
      <c r="J883" s="6"/>
      <c r="M883" s="8"/>
      <c r="S883" s="4"/>
    </row>
    <row r="884">
      <c r="C884" s="2"/>
      <c r="D884" s="6"/>
      <c r="E884" s="4"/>
      <c r="J884" s="6"/>
      <c r="M884" s="8"/>
      <c r="S884" s="4"/>
    </row>
    <row r="885">
      <c r="C885" s="2"/>
      <c r="D885" s="6"/>
      <c r="E885" s="4"/>
      <c r="J885" s="6"/>
      <c r="M885" s="8"/>
      <c r="S885" s="4"/>
    </row>
    <row r="886">
      <c r="C886" s="2"/>
      <c r="D886" s="6"/>
      <c r="E886" s="4"/>
      <c r="J886" s="6"/>
      <c r="M886" s="8"/>
      <c r="S886" s="4"/>
    </row>
    <row r="887">
      <c r="C887" s="2"/>
      <c r="D887" s="6"/>
      <c r="E887" s="4"/>
      <c r="J887" s="6"/>
      <c r="M887" s="8"/>
      <c r="S887" s="4"/>
    </row>
    <row r="888">
      <c r="C888" s="2"/>
      <c r="D888" s="6"/>
      <c r="E888" s="4"/>
      <c r="J888" s="6"/>
      <c r="M888" s="8"/>
      <c r="S888" s="4"/>
    </row>
    <row r="889">
      <c r="C889" s="2"/>
      <c r="D889" s="6"/>
      <c r="E889" s="4"/>
      <c r="J889" s="6"/>
      <c r="M889" s="8"/>
      <c r="S889" s="4"/>
    </row>
    <row r="890">
      <c r="C890" s="2"/>
      <c r="D890" s="6"/>
      <c r="E890" s="4"/>
      <c r="J890" s="6"/>
      <c r="M890" s="8"/>
      <c r="S890" s="4"/>
    </row>
    <row r="891">
      <c r="C891" s="2"/>
      <c r="D891" s="6"/>
      <c r="E891" s="4"/>
      <c r="J891" s="6"/>
      <c r="M891" s="8"/>
      <c r="S891" s="4"/>
    </row>
    <row r="892">
      <c r="C892" s="2"/>
      <c r="D892" s="6"/>
      <c r="E892" s="4"/>
      <c r="J892" s="6"/>
      <c r="M892" s="8"/>
      <c r="S892" s="4"/>
    </row>
    <row r="893">
      <c r="C893" s="2"/>
      <c r="D893" s="6"/>
      <c r="E893" s="4"/>
      <c r="J893" s="6"/>
      <c r="M893" s="8"/>
      <c r="S893" s="4"/>
    </row>
    <row r="894">
      <c r="C894" s="2"/>
      <c r="D894" s="6"/>
      <c r="E894" s="4"/>
      <c r="J894" s="6"/>
      <c r="M894" s="8"/>
      <c r="S894" s="4"/>
    </row>
    <row r="895">
      <c r="C895" s="2"/>
      <c r="D895" s="6"/>
      <c r="E895" s="4"/>
      <c r="J895" s="6"/>
      <c r="M895" s="8"/>
      <c r="S895" s="4"/>
    </row>
    <row r="896">
      <c r="C896" s="2"/>
      <c r="D896" s="6"/>
      <c r="E896" s="4"/>
      <c r="J896" s="6"/>
      <c r="M896" s="8"/>
      <c r="S896" s="4"/>
    </row>
    <row r="897">
      <c r="C897" s="2"/>
      <c r="D897" s="6"/>
      <c r="E897" s="4"/>
      <c r="J897" s="6"/>
      <c r="M897" s="8"/>
      <c r="S897" s="4"/>
    </row>
    <row r="898">
      <c r="C898" s="2"/>
      <c r="D898" s="6"/>
      <c r="E898" s="4"/>
      <c r="J898" s="6"/>
      <c r="M898" s="8"/>
      <c r="S898" s="4"/>
    </row>
    <row r="899">
      <c r="C899" s="2"/>
      <c r="D899" s="6"/>
      <c r="E899" s="4"/>
      <c r="J899" s="6"/>
      <c r="M899" s="8"/>
      <c r="S899" s="4"/>
    </row>
    <row r="900">
      <c r="C900" s="2"/>
      <c r="D900" s="6"/>
      <c r="E900" s="4"/>
      <c r="J900" s="6"/>
      <c r="M900" s="8"/>
      <c r="S900" s="4"/>
    </row>
    <row r="901">
      <c r="C901" s="2"/>
      <c r="D901" s="6"/>
      <c r="E901" s="4"/>
      <c r="J901" s="6"/>
      <c r="M901" s="8"/>
      <c r="S901" s="4"/>
    </row>
    <row r="902">
      <c r="C902" s="2"/>
      <c r="D902" s="6"/>
      <c r="E902" s="4"/>
      <c r="J902" s="6"/>
      <c r="M902" s="8"/>
      <c r="S902" s="4"/>
    </row>
    <row r="903">
      <c r="C903" s="2"/>
      <c r="D903" s="6"/>
      <c r="E903" s="4"/>
      <c r="J903" s="6"/>
      <c r="M903" s="8"/>
      <c r="S903" s="4"/>
    </row>
    <row r="904">
      <c r="C904" s="2"/>
      <c r="D904" s="6"/>
      <c r="E904" s="4"/>
      <c r="J904" s="6"/>
      <c r="M904" s="8"/>
      <c r="S904" s="4"/>
    </row>
    <row r="905">
      <c r="C905" s="2"/>
      <c r="D905" s="6"/>
      <c r="E905" s="4"/>
      <c r="J905" s="6"/>
      <c r="M905" s="8"/>
      <c r="S905" s="4"/>
    </row>
    <row r="906">
      <c r="C906" s="2"/>
      <c r="D906" s="6"/>
      <c r="E906" s="4"/>
      <c r="J906" s="6"/>
      <c r="M906" s="8"/>
      <c r="S906" s="4"/>
    </row>
    <row r="907">
      <c r="C907" s="2"/>
      <c r="D907" s="6"/>
      <c r="E907" s="4"/>
      <c r="J907" s="6"/>
      <c r="M907" s="8"/>
      <c r="S907" s="4"/>
    </row>
    <row r="908">
      <c r="C908" s="2"/>
      <c r="D908" s="6"/>
      <c r="E908" s="4"/>
      <c r="J908" s="6"/>
      <c r="M908" s="8"/>
      <c r="S908" s="4"/>
    </row>
    <row r="909">
      <c r="C909" s="2"/>
      <c r="D909" s="6"/>
      <c r="E909" s="4"/>
      <c r="J909" s="6"/>
      <c r="M909" s="8"/>
      <c r="S909" s="4"/>
    </row>
    <row r="910">
      <c r="C910" s="2"/>
      <c r="D910" s="6"/>
      <c r="E910" s="4"/>
      <c r="J910" s="6"/>
      <c r="M910" s="8"/>
      <c r="S910" s="4"/>
    </row>
    <row r="911">
      <c r="C911" s="2"/>
      <c r="D911" s="6"/>
      <c r="E911" s="4"/>
      <c r="J911" s="6"/>
      <c r="M911" s="8"/>
      <c r="S911" s="4"/>
    </row>
    <row r="912">
      <c r="C912" s="2"/>
      <c r="D912" s="6"/>
      <c r="E912" s="4"/>
      <c r="J912" s="6"/>
      <c r="M912" s="8"/>
      <c r="S912" s="4"/>
    </row>
    <row r="913">
      <c r="C913" s="2"/>
      <c r="D913" s="6"/>
      <c r="E913" s="4"/>
      <c r="J913" s="6"/>
      <c r="M913" s="8"/>
      <c r="S913" s="4"/>
    </row>
    <row r="914">
      <c r="C914" s="2"/>
      <c r="D914" s="6"/>
      <c r="E914" s="4"/>
      <c r="J914" s="6"/>
      <c r="M914" s="8"/>
      <c r="S914" s="4"/>
    </row>
    <row r="915">
      <c r="C915" s="2"/>
      <c r="D915" s="6"/>
      <c r="E915" s="4"/>
      <c r="J915" s="6"/>
      <c r="M915" s="8"/>
      <c r="S915" s="4"/>
    </row>
    <row r="916">
      <c r="C916" s="2"/>
      <c r="D916" s="6"/>
      <c r="E916" s="4"/>
      <c r="J916" s="6"/>
      <c r="M916" s="8"/>
      <c r="S916" s="4"/>
    </row>
    <row r="917">
      <c r="C917" s="2"/>
      <c r="D917" s="6"/>
      <c r="E917" s="4"/>
      <c r="J917" s="6"/>
      <c r="M917" s="8"/>
      <c r="S917" s="4"/>
    </row>
    <row r="918">
      <c r="C918" s="2"/>
      <c r="D918" s="6"/>
      <c r="E918" s="4"/>
      <c r="J918" s="6"/>
      <c r="M918" s="8"/>
      <c r="S918" s="4"/>
    </row>
    <row r="919">
      <c r="C919" s="2"/>
      <c r="D919" s="6"/>
      <c r="E919" s="4"/>
      <c r="J919" s="6"/>
      <c r="M919" s="8"/>
      <c r="S919" s="4"/>
    </row>
    <row r="920">
      <c r="C920" s="2"/>
      <c r="D920" s="6"/>
      <c r="E920" s="4"/>
      <c r="J920" s="6"/>
      <c r="M920" s="8"/>
      <c r="S920" s="4"/>
    </row>
    <row r="921">
      <c r="C921" s="2"/>
      <c r="D921" s="6"/>
      <c r="E921" s="4"/>
      <c r="J921" s="6"/>
      <c r="M921" s="8"/>
      <c r="S921" s="4"/>
    </row>
    <row r="922">
      <c r="C922" s="2"/>
      <c r="D922" s="6"/>
      <c r="E922" s="4"/>
      <c r="J922" s="6"/>
      <c r="M922" s="8"/>
      <c r="S922" s="4"/>
    </row>
    <row r="923">
      <c r="C923" s="2"/>
      <c r="D923" s="6"/>
      <c r="E923" s="4"/>
      <c r="J923" s="6"/>
      <c r="M923" s="8"/>
      <c r="S923" s="4"/>
    </row>
    <row r="924">
      <c r="C924" s="2"/>
      <c r="D924" s="6"/>
      <c r="E924" s="4"/>
      <c r="J924" s="6"/>
      <c r="M924" s="8"/>
      <c r="S924" s="4"/>
    </row>
    <row r="925">
      <c r="C925" s="2"/>
      <c r="D925" s="6"/>
      <c r="E925" s="4"/>
      <c r="J925" s="6"/>
      <c r="M925" s="8"/>
      <c r="S925" s="4"/>
    </row>
    <row r="926">
      <c r="C926" s="2"/>
      <c r="D926" s="6"/>
      <c r="E926" s="4"/>
      <c r="J926" s="6"/>
      <c r="M926" s="8"/>
      <c r="S926" s="4"/>
    </row>
    <row r="927">
      <c r="C927" s="2"/>
      <c r="D927" s="6"/>
      <c r="E927" s="4"/>
      <c r="J927" s="6"/>
      <c r="M927" s="8"/>
      <c r="S927" s="4"/>
    </row>
    <row r="928">
      <c r="C928" s="2"/>
      <c r="D928" s="6"/>
      <c r="E928" s="4"/>
      <c r="J928" s="6"/>
      <c r="M928" s="8"/>
      <c r="S928" s="4"/>
    </row>
    <row r="929">
      <c r="C929" s="2"/>
      <c r="D929" s="6"/>
      <c r="E929" s="4"/>
      <c r="J929" s="6"/>
      <c r="M929" s="8"/>
      <c r="S929" s="4"/>
    </row>
    <row r="930">
      <c r="C930" s="2"/>
      <c r="D930" s="6"/>
      <c r="E930" s="4"/>
      <c r="J930" s="6"/>
      <c r="M930" s="8"/>
      <c r="S930" s="4"/>
    </row>
    <row r="931">
      <c r="C931" s="2"/>
      <c r="D931" s="6"/>
      <c r="E931" s="4"/>
      <c r="J931" s="6"/>
      <c r="M931" s="8"/>
      <c r="S931" s="4"/>
    </row>
    <row r="932">
      <c r="C932" s="2"/>
      <c r="D932" s="6"/>
      <c r="E932" s="4"/>
      <c r="J932" s="6"/>
      <c r="M932" s="8"/>
      <c r="S932" s="4"/>
    </row>
    <row r="933">
      <c r="C933" s="2"/>
      <c r="D933" s="6"/>
      <c r="E933" s="4"/>
      <c r="J933" s="6"/>
      <c r="M933" s="8"/>
      <c r="S933" s="4"/>
    </row>
    <row r="934">
      <c r="C934" s="2"/>
      <c r="D934" s="6"/>
      <c r="E934" s="4"/>
      <c r="J934" s="6"/>
      <c r="M934" s="8"/>
      <c r="S934" s="4"/>
    </row>
    <row r="935">
      <c r="C935" s="2"/>
      <c r="D935" s="6"/>
      <c r="E935" s="4"/>
      <c r="J935" s="6"/>
      <c r="M935" s="8"/>
      <c r="S935" s="4"/>
    </row>
    <row r="936">
      <c r="C936" s="2"/>
      <c r="D936" s="6"/>
      <c r="E936" s="4"/>
      <c r="J936" s="6"/>
      <c r="M936" s="8"/>
      <c r="S936" s="4"/>
    </row>
    <row r="937">
      <c r="C937" s="2"/>
      <c r="D937" s="6"/>
      <c r="E937" s="4"/>
      <c r="J937" s="6"/>
      <c r="M937" s="8"/>
      <c r="S937" s="4"/>
    </row>
    <row r="938">
      <c r="C938" s="2"/>
      <c r="D938" s="6"/>
      <c r="E938" s="4"/>
      <c r="J938" s="6"/>
      <c r="M938" s="8"/>
      <c r="S938" s="4"/>
    </row>
    <row r="939">
      <c r="C939" s="2"/>
      <c r="D939" s="6"/>
      <c r="E939" s="4"/>
      <c r="J939" s="6"/>
      <c r="M939" s="8"/>
      <c r="S939" s="4"/>
    </row>
    <row r="940">
      <c r="C940" s="2"/>
      <c r="D940" s="6"/>
      <c r="E940" s="4"/>
      <c r="J940" s="6"/>
      <c r="M940" s="8"/>
      <c r="S940" s="4"/>
    </row>
    <row r="941">
      <c r="C941" s="2"/>
      <c r="D941" s="6"/>
      <c r="E941" s="4"/>
      <c r="J941" s="6"/>
      <c r="M941" s="8"/>
      <c r="S941" s="4"/>
    </row>
    <row r="942">
      <c r="C942" s="2"/>
      <c r="D942" s="6"/>
      <c r="E942" s="4"/>
      <c r="J942" s="6"/>
      <c r="M942" s="8"/>
      <c r="S942" s="4"/>
    </row>
    <row r="943">
      <c r="C943" s="2"/>
      <c r="D943" s="6"/>
      <c r="E943" s="4"/>
      <c r="J943" s="6"/>
      <c r="M943" s="8"/>
      <c r="S943" s="4"/>
    </row>
    <row r="944">
      <c r="C944" s="2"/>
      <c r="D944" s="6"/>
      <c r="E944" s="4"/>
      <c r="J944" s="6"/>
      <c r="M944" s="8"/>
      <c r="S944" s="4"/>
    </row>
    <row r="945">
      <c r="C945" s="2"/>
      <c r="D945" s="6"/>
      <c r="E945" s="4"/>
      <c r="J945" s="6"/>
      <c r="M945" s="8"/>
      <c r="S945" s="4"/>
    </row>
    <row r="946">
      <c r="C946" s="2"/>
      <c r="D946" s="6"/>
      <c r="E946" s="4"/>
      <c r="J946" s="6"/>
      <c r="M946" s="8"/>
      <c r="S946" s="4"/>
    </row>
    <row r="947">
      <c r="C947" s="2"/>
      <c r="D947" s="6"/>
      <c r="E947" s="4"/>
      <c r="J947" s="6"/>
      <c r="M947" s="8"/>
      <c r="S947" s="4"/>
    </row>
    <row r="948">
      <c r="C948" s="2"/>
      <c r="D948" s="6"/>
      <c r="E948" s="4"/>
      <c r="J948" s="6"/>
      <c r="M948" s="8"/>
      <c r="S948" s="4"/>
    </row>
    <row r="949">
      <c r="C949" s="2"/>
      <c r="D949" s="6"/>
      <c r="E949" s="4"/>
      <c r="J949" s="6"/>
      <c r="M949" s="8"/>
      <c r="S949" s="4"/>
    </row>
    <row r="950">
      <c r="C950" s="2"/>
      <c r="D950" s="6"/>
      <c r="E950" s="4"/>
      <c r="J950" s="6"/>
      <c r="M950" s="8"/>
      <c r="S950" s="4"/>
    </row>
    <row r="951">
      <c r="C951" s="2"/>
      <c r="D951" s="6"/>
      <c r="E951" s="4"/>
      <c r="J951" s="6"/>
      <c r="M951" s="8"/>
      <c r="S951" s="4"/>
    </row>
    <row r="952">
      <c r="C952" s="2"/>
      <c r="D952" s="6"/>
      <c r="E952" s="4"/>
      <c r="J952" s="6"/>
      <c r="M952" s="8"/>
      <c r="S952" s="4"/>
    </row>
    <row r="953">
      <c r="C953" s="2"/>
      <c r="D953" s="6"/>
      <c r="E953" s="4"/>
      <c r="J953" s="6"/>
      <c r="M953" s="8"/>
      <c r="S953" s="4"/>
    </row>
    <row r="954">
      <c r="C954" s="2"/>
      <c r="D954" s="6"/>
      <c r="E954" s="4"/>
      <c r="J954" s="6"/>
      <c r="M954" s="8"/>
      <c r="S954" s="4"/>
    </row>
    <row r="955">
      <c r="C955" s="2"/>
      <c r="D955" s="6"/>
      <c r="E955" s="4"/>
      <c r="J955" s="6"/>
      <c r="M955" s="8"/>
      <c r="S955" s="4"/>
    </row>
    <row r="956">
      <c r="C956" s="2"/>
      <c r="D956" s="6"/>
      <c r="E956" s="4"/>
      <c r="J956" s="6"/>
      <c r="M956" s="8"/>
      <c r="S956" s="4"/>
    </row>
    <row r="957">
      <c r="C957" s="2"/>
      <c r="D957" s="6"/>
      <c r="E957" s="4"/>
      <c r="J957" s="6"/>
      <c r="M957" s="8"/>
      <c r="S957" s="4"/>
    </row>
    <row r="958">
      <c r="C958" s="2"/>
      <c r="D958" s="6"/>
      <c r="E958" s="4"/>
      <c r="J958" s="6"/>
      <c r="M958" s="8"/>
      <c r="S958" s="4"/>
    </row>
    <row r="959">
      <c r="C959" s="2"/>
      <c r="D959" s="6"/>
      <c r="E959" s="4"/>
      <c r="J959" s="6"/>
      <c r="M959" s="8"/>
      <c r="S959" s="4"/>
    </row>
    <row r="960">
      <c r="C960" s="2"/>
      <c r="D960" s="6"/>
      <c r="E960" s="4"/>
      <c r="J960" s="6"/>
      <c r="M960" s="8"/>
      <c r="S960" s="4"/>
    </row>
    <row r="961">
      <c r="C961" s="2"/>
      <c r="D961" s="6"/>
      <c r="E961" s="4"/>
      <c r="J961" s="6"/>
      <c r="M961" s="8"/>
      <c r="S961" s="4"/>
    </row>
    <row r="962">
      <c r="C962" s="2"/>
      <c r="D962" s="6"/>
      <c r="E962" s="4"/>
      <c r="J962" s="6"/>
      <c r="M962" s="8"/>
      <c r="S962" s="4"/>
    </row>
    <row r="963">
      <c r="C963" s="2"/>
      <c r="D963" s="6"/>
      <c r="E963" s="4"/>
      <c r="J963" s="6"/>
      <c r="M963" s="8"/>
      <c r="S963" s="4"/>
    </row>
    <row r="964">
      <c r="C964" s="2"/>
      <c r="D964" s="6"/>
      <c r="E964" s="4"/>
      <c r="J964" s="6"/>
      <c r="M964" s="8"/>
      <c r="S964" s="4"/>
    </row>
    <row r="965">
      <c r="C965" s="2"/>
      <c r="D965" s="6"/>
      <c r="E965" s="4"/>
      <c r="J965" s="6"/>
      <c r="M965" s="8"/>
      <c r="S965" s="4"/>
    </row>
    <row r="966">
      <c r="C966" s="2"/>
      <c r="D966" s="6"/>
      <c r="E966" s="4"/>
      <c r="J966" s="6"/>
      <c r="M966" s="8"/>
      <c r="S966" s="4"/>
    </row>
    <row r="967">
      <c r="C967" s="2"/>
      <c r="D967" s="6"/>
      <c r="E967" s="4"/>
      <c r="J967" s="6"/>
      <c r="M967" s="8"/>
      <c r="S967" s="4"/>
    </row>
    <row r="968">
      <c r="C968" s="2"/>
      <c r="D968" s="6"/>
      <c r="E968" s="4"/>
      <c r="J968" s="6"/>
      <c r="M968" s="8"/>
      <c r="S968" s="4"/>
    </row>
    <row r="969">
      <c r="C969" s="2"/>
      <c r="D969" s="6"/>
      <c r="E969" s="4"/>
      <c r="J969" s="6"/>
      <c r="M969" s="8"/>
      <c r="S969" s="4"/>
    </row>
    <row r="970">
      <c r="C970" s="2"/>
      <c r="D970" s="6"/>
      <c r="E970" s="4"/>
      <c r="J970" s="6"/>
      <c r="M970" s="8"/>
      <c r="S970" s="4"/>
    </row>
    <row r="971">
      <c r="C971" s="2"/>
      <c r="D971" s="6"/>
      <c r="E971" s="4"/>
      <c r="J971" s="6"/>
      <c r="M971" s="8"/>
      <c r="S971" s="4"/>
    </row>
    <row r="972">
      <c r="C972" s="2"/>
      <c r="D972" s="6"/>
      <c r="E972" s="4"/>
      <c r="J972" s="6"/>
      <c r="M972" s="8"/>
      <c r="S972" s="4"/>
    </row>
    <row r="973">
      <c r="C973" s="2"/>
      <c r="D973" s="6"/>
      <c r="E973" s="4"/>
      <c r="J973" s="6"/>
      <c r="M973" s="8"/>
      <c r="S973" s="4"/>
    </row>
    <row r="974">
      <c r="C974" s="2"/>
      <c r="D974" s="6"/>
      <c r="E974" s="4"/>
      <c r="J974" s="6"/>
      <c r="M974" s="8"/>
      <c r="S974" s="4"/>
    </row>
    <row r="975">
      <c r="C975" s="2"/>
      <c r="D975" s="6"/>
      <c r="E975" s="4"/>
      <c r="J975" s="6"/>
      <c r="M975" s="8"/>
      <c r="S975" s="4"/>
    </row>
    <row r="976">
      <c r="C976" s="2"/>
      <c r="D976" s="6"/>
      <c r="E976" s="4"/>
      <c r="J976" s="6"/>
      <c r="M976" s="8"/>
      <c r="S976" s="4"/>
    </row>
    <row r="977">
      <c r="C977" s="2"/>
      <c r="D977" s="6"/>
      <c r="E977" s="4"/>
      <c r="J977" s="6"/>
      <c r="M977" s="8"/>
      <c r="S977" s="4"/>
    </row>
    <row r="978">
      <c r="C978" s="2"/>
      <c r="D978" s="6"/>
      <c r="E978" s="4"/>
      <c r="J978" s="6"/>
      <c r="M978" s="8"/>
      <c r="S978" s="4"/>
    </row>
    <row r="979">
      <c r="C979" s="2"/>
      <c r="D979" s="6"/>
      <c r="E979" s="4"/>
      <c r="J979" s="6"/>
      <c r="M979" s="8"/>
      <c r="S979" s="4"/>
    </row>
    <row r="980">
      <c r="C980" s="2"/>
      <c r="D980" s="6"/>
      <c r="E980" s="4"/>
      <c r="J980" s="6"/>
      <c r="M980" s="8"/>
      <c r="S980" s="4"/>
    </row>
    <row r="981">
      <c r="C981" s="2"/>
      <c r="D981" s="6"/>
      <c r="E981" s="4"/>
      <c r="J981" s="6"/>
      <c r="M981" s="8"/>
      <c r="S981" s="4"/>
    </row>
    <row r="982">
      <c r="C982" s="2"/>
      <c r="D982" s="6"/>
      <c r="E982" s="4"/>
      <c r="J982" s="6"/>
      <c r="M982" s="8"/>
      <c r="S982" s="4"/>
    </row>
    <row r="983">
      <c r="C983" s="2"/>
      <c r="D983" s="6"/>
      <c r="E983" s="4"/>
      <c r="J983" s="6"/>
      <c r="M983" s="8"/>
      <c r="S983" s="4"/>
    </row>
    <row r="984">
      <c r="C984" s="2"/>
      <c r="D984" s="6"/>
      <c r="E984" s="4"/>
      <c r="J984" s="6"/>
      <c r="M984" s="8"/>
      <c r="S984" s="4"/>
    </row>
    <row r="985">
      <c r="C985" s="2"/>
      <c r="D985" s="6"/>
      <c r="E985" s="4"/>
      <c r="J985" s="6"/>
      <c r="M985" s="8"/>
      <c r="S985" s="4"/>
    </row>
    <row r="986">
      <c r="C986" s="2"/>
      <c r="D986" s="6"/>
      <c r="E986" s="4"/>
      <c r="J986" s="6"/>
      <c r="M986" s="8"/>
      <c r="S986" s="4"/>
    </row>
    <row r="987">
      <c r="C987" s="2"/>
      <c r="D987" s="6"/>
      <c r="E987" s="4"/>
      <c r="J987" s="6"/>
      <c r="M987" s="8"/>
      <c r="S987" s="4"/>
    </row>
    <row r="988">
      <c r="C988" s="2"/>
      <c r="D988" s="6"/>
      <c r="E988" s="4"/>
      <c r="J988" s="6"/>
      <c r="M988" s="8"/>
      <c r="S988" s="4"/>
    </row>
    <row r="989">
      <c r="C989" s="2"/>
      <c r="D989" s="6"/>
      <c r="E989" s="4"/>
      <c r="J989" s="6"/>
      <c r="M989" s="8"/>
      <c r="S989" s="4"/>
    </row>
    <row r="990">
      <c r="C990" s="2"/>
      <c r="D990" s="6"/>
      <c r="E990" s="4"/>
      <c r="J990" s="6"/>
      <c r="M990" s="8"/>
      <c r="S990" s="4"/>
    </row>
    <row r="991">
      <c r="C991" s="2"/>
      <c r="D991" s="6"/>
      <c r="E991" s="4"/>
      <c r="J991" s="6"/>
      <c r="M991" s="8"/>
      <c r="S991" s="4"/>
    </row>
    <row r="992">
      <c r="C992" s="2"/>
      <c r="D992" s="6"/>
      <c r="E992" s="4"/>
      <c r="J992" s="6"/>
      <c r="M992" s="8"/>
      <c r="S992" s="4"/>
    </row>
    <row r="993">
      <c r="C993" s="2"/>
      <c r="D993" s="6"/>
      <c r="E993" s="4"/>
      <c r="J993" s="6"/>
      <c r="M993" s="8"/>
      <c r="S993" s="4"/>
    </row>
    <row r="994">
      <c r="C994" s="2"/>
      <c r="D994" s="6"/>
      <c r="E994" s="4"/>
      <c r="J994" s="6"/>
      <c r="M994" s="8"/>
      <c r="S994" s="4"/>
    </row>
    <row r="995">
      <c r="C995" s="2"/>
      <c r="D995" s="6"/>
      <c r="E995" s="4"/>
      <c r="J995" s="6"/>
      <c r="M995" s="8"/>
      <c r="S995" s="4"/>
    </row>
    <row r="996">
      <c r="C996" s="2"/>
      <c r="D996" s="6"/>
      <c r="E996" s="4"/>
      <c r="J996" s="6"/>
      <c r="M996" s="8"/>
      <c r="S996" s="4"/>
    </row>
    <row r="997">
      <c r="C997" s="2"/>
      <c r="D997" s="6"/>
      <c r="E997" s="4"/>
      <c r="J997" s="6"/>
      <c r="M997" s="8"/>
      <c r="S997" s="4"/>
    </row>
    <row r="998">
      <c r="C998" s="2"/>
      <c r="D998" s="6"/>
      <c r="E998" s="4"/>
      <c r="J998" s="6"/>
      <c r="M998" s="8"/>
      <c r="S998" s="4"/>
    </row>
    <row r="999">
      <c r="C999" s="2"/>
      <c r="D999" s="6"/>
      <c r="E999" s="4"/>
      <c r="J999" s="6"/>
      <c r="M999" s="8"/>
      <c r="S999" s="4"/>
    </row>
    <row r="1000">
      <c r="C1000" s="2"/>
      <c r="D1000" s="6"/>
      <c r="E1000" s="4"/>
      <c r="J1000" s="6"/>
      <c r="M1000" s="8"/>
      <c r="S1000" s="4"/>
    </row>
    <row r="1001">
      <c r="C1001" s="2"/>
      <c r="D1001" s="6"/>
      <c r="E1001" s="4"/>
      <c r="J1001" s="6"/>
      <c r="M1001" s="8"/>
      <c r="S1001" s="4"/>
    </row>
    <row r="1002">
      <c r="C1002" s="2"/>
      <c r="D1002" s="6"/>
      <c r="E1002" s="4"/>
      <c r="J1002" s="6"/>
      <c r="M1002" s="8"/>
      <c r="S1002" s="4"/>
    </row>
    <row r="1003">
      <c r="C1003" s="2"/>
      <c r="D1003" s="6"/>
      <c r="E1003" s="4"/>
      <c r="J1003" s="6"/>
      <c r="M1003" s="8"/>
      <c r="S1003" s="4"/>
    </row>
    <row r="1004">
      <c r="C1004" s="2"/>
      <c r="D1004" s="6"/>
      <c r="E1004" s="4"/>
      <c r="J1004" s="6"/>
      <c r="M1004" s="8"/>
      <c r="S1004" s="4"/>
    </row>
    <row r="1005">
      <c r="C1005" s="2"/>
      <c r="D1005" s="6"/>
      <c r="E1005" s="4"/>
      <c r="J1005" s="6"/>
      <c r="M1005" s="8"/>
      <c r="S1005" s="4"/>
    </row>
    <row r="1006">
      <c r="C1006" s="2"/>
      <c r="D1006" s="6"/>
      <c r="E1006" s="4"/>
      <c r="J1006" s="6"/>
      <c r="M1006" s="8"/>
      <c r="S1006" s="4"/>
    </row>
    <row r="1007">
      <c r="C1007" s="2"/>
      <c r="D1007" s="6"/>
      <c r="E1007" s="4"/>
      <c r="J1007" s="6"/>
      <c r="M1007" s="8"/>
      <c r="S1007" s="4"/>
    </row>
    <row r="1008">
      <c r="C1008" s="2"/>
      <c r="D1008" s="6"/>
      <c r="E1008" s="4"/>
      <c r="J1008" s="6"/>
      <c r="M1008" s="8"/>
      <c r="S1008" s="4"/>
    </row>
    <row r="1009">
      <c r="C1009" s="2"/>
      <c r="D1009" s="6"/>
      <c r="E1009" s="4"/>
      <c r="J1009" s="6"/>
      <c r="M1009" s="8"/>
      <c r="S1009" s="4"/>
    </row>
    <row r="1010">
      <c r="C1010" s="2"/>
      <c r="D1010" s="6"/>
      <c r="E1010" s="4"/>
      <c r="J1010" s="6"/>
      <c r="M1010" s="8"/>
      <c r="S1010" s="4"/>
    </row>
    <row r="1011">
      <c r="C1011" s="2"/>
      <c r="D1011" s="6"/>
      <c r="E1011" s="4"/>
      <c r="J1011" s="6"/>
      <c r="M1011" s="8"/>
      <c r="S1011" s="4"/>
    </row>
    <row r="1012">
      <c r="C1012" s="2"/>
      <c r="D1012" s="6"/>
      <c r="E1012" s="4"/>
      <c r="J1012" s="6"/>
      <c r="M1012" s="8"/>
      <c r="S1012" s="4"/>
    </row>
    <row r="1013">
      <c r="C1013" s="2"/>
      <c r="D1013" s="6"/>
      <c r="E1013" s="4"/>
      <c r="J1013" s="6"/>
      <c r="M1013" s="8"/>
      <c r="S1013" s="4"/>
    </row>
    <row r="1014">
      <c r="C1014" s="2"/>
      <c r="D1014" s="6"/>
      <c r="E1014" s="4"/>
      <c r="J1014" s="6"/>
      <c r="M1014" s="8"/>
      <c r="S1014" s="4"/>
    </row>
    <row r="1015">
      <c r="C1015" s="2"/>
      <c r="D1015" s="6"/>
      <c r="E1015" s="4"/>
      <c r="J1015" s="6"/>
      <c r="M1015" s="8"/>
      <c r="S1015" s="4"/>
    </row>
    <row r="1016">
      <c r="C1016" s="2"/>
      <c r="D1016" s="6"/>
      <c r="E1016" s="4"/>
      <c r="J1016" s="6"/>
      <c r="M1016" s="8"/>
      <c r="S1016" s="4"/>
    </row>
    <row r="1017">
      <c r="C1017" s="2"/>
      <c r="D1017" s="6"/>
      <c r="E1017" s="4"/>
      <c r="J1017" s="6"/>
      <c r="M1017" s="8"/>
      <c r="S1017" s="4"/>
    </row>
    <row r="1018">
      <c r="C1018" s="2"/>
      <c r="D1018" s="6"/>
      <c r="E1018" s="4"/>
      <c r="J1018" s="6"/>
      <c r="M1018" s="8"/>
      <c r="S1018" s="4"/>
    </row>
    <row r="1019">
      <c r="C1019" s="2"/>
      <c r="D1019" s="6"/>
      <c r="E1019" s="4"/>
      <c r="J1019" s="6"/>
      <c r="M1019" s="8"/>
      <c r="S1019" s="4"/>
    </row>
    <row r="1020">
      <c r="C1020" s="2"/>
      <c r="D1020" s="6"/>
      <c r="E1020" s="4"/>
      <c r="J1020" s="6"/>
      <c r="M1020" s="8"/>
      <c r="S1020" s="4"/>
    </row>
    <row r="1021">
      <c r="C1021" s="2"/>
      <c r="D1021" s="6"/>
      <c r="E1021" s="4"/>
      <c r="J1021" s="6"/>
      <c r="M1021" s="8"/>
      <c r="S1021" s="4"/>
    </row>
    <row r="1022">
      <c r="C1022" s="2"/>
      <c r="D1022" s="6"/>
      <c r="E1022" s="4"/>
      <c r="J1022" s="6"/>
      <c r="M1022" s="8"/>
      <c r="S1022" s="4"/>
    </row>
  </sheetData>
  <mergeCells count="6">
    <mergeCell ref="D5:F5"/>
    <mergeCell ref="G5:M5"/>
    <mergeCell ref="N5:S5"/>
    <mergeCell ref="C6:D6"/>
    <mergeCell ref="E6:F6"/>
    <mergeCell ref="L6:M6"/>
  </mergeCells>
  <conditionalFormatting sqref="D57">
    <cfRule type="notContainsBlanks" dxfId="0" priority="1">
      <formula>LEN(TRIM(D57))&gt;0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16.88"/>
    <col customWidth="1" min="5" max="5" width="19.38"/>
    <col customWidth="1" min="6" max="6" width="16.63"/>
    <col customWidth="1" min="7" max="7" width="25.13"/>
    <col customWidth="1" min="8" max="8" width="17.38"/>
    <col customWidth="1" min="9" max="9" width="21.38"/>
    <col customWidth="1" min="10" max="10" width="20.25"/>
    <col customWidth="1" min="11" max="11" width="19.13"/>
    <col customWidth="1" min="12" max="12" width="14.13"/>
    <col customWidth="1" min="13" max="13" width="20.13"/>
    <col customWidth="1" min="14" max="14" width="19.38"/>
    <col customWidth="1" min="15" max="15" width="15.88"/>
    <col customWidth="1" min="16" max="16" width="18.88"/>
    <col customWidth="1" min="17" max="17" width="15.63"/>
    <col customWidth="1" min="18" max="18" width="17.38"/>
  </cols>
  <sheetData>
    <row r="2">
      <c r="C2" s="5" t="s">
        <v>0</v>
      </c>
      <c r="D2" s="7"/>
      <c r="E2" s="9"/>
      <c r="F2" s="11"/>
      <c r="G2" s="12">
        <v>4.0E7</v>
      </c>
      <c r="H2" s="14">
        <f>G2/10000000/6</f>
        <v>0.6666666667</v>
      </c>
      <c r="I2" s="16" t="s">
        <v>2</v>
      </c>
      <c r="J2" s="9"/>
      <c r="K2" s="20" t="s">
        <v>7</v>
      </c>
      <c r="L2" s="9"/>
      <c r="M2" s="22"/>
      <c r="N2" s="9"/>
    </row>
    <row r="3">
      <c r="C3" s="25" t="s">
        <v>10</v>
      </c>
      <c r="D3" s="7"/>
      <c r="E3" s="9"/>
      <c r="F3" s="11"/>
      <c r="G3" s="31">
        <f>G101+I3+K3</f>
        <v>0</v>
      </c>
      <c r="H3" s="14">
        <f>G3*100/G2/100</f>
        <v>0</v>
      </c>
      <c r="I3" s="34">
        <f>H27</f>
        <v>0</v>
      </c>
      <c r="J3" s="9"/>
      <c r="K3" s="34">
        <f>H49</f>
        <v>0</v>
      </c>
      <c r="L3" s="9"/>
      <c r="M3" s="39" t="str">
        <f>I45+G14+G21+G24+G27+G46</f>
        <v>#VALUE!</v>
      </c>
      <c r="N3" s="9"/>
    </row>
    <row r="4">
      <c r="C4" s="5" t="s">
        <v>23</v>
      </c>
      <c r="D4" s="7"/>
      <c r="E4" s="9"/>
      <c r="F4" s="11"/>
      <c r="G4" s="43">
        <f>G2-G3</f>
        <v>40000000</v>
      </c>
      <c r="H4" s="46">
        <f>G4*100/G2/100</f>
        <v>1</v>
      </c>
      <c r="I4" s="48">
        <f>20000000-I3</f>
        <v>20000000</v>
      </c>
      <c r="J4" s="9"/>
      <c r="K4" s="53">
        <f>20000000-K3</f>
        <v>20000000</v>
      </c>
      <c r="L4" s="9"/>
      <c r="M4" s="39" t="str">
        <f>20000000-M3</f>
        <v>#VALUE!</v>
      </c>
      <c r="N4" s="9"/>
      <c r="O4" s="57"/>
      <c r="P4" s="57"/>
      <c r="Q4" s="57"/>
      <c r="R4" s="57"/>
      <c r="S4" s="57"/>
      <c r="T4" s="57"/>
    </row>
    <row r="5">
      <c r="C5" s="25" t="s">
        <v>34</v>
      </c>
      <c r="D5" s="7"/>
      <c r="E5" s="9"/>
      <c r="F5" s="62"/>
      <c r="G5" s="65" t="str">
        <f>A101</f>
        <v/>
      </c>
      <c r="H5" s="66"/>
      <c r="I5" s="68">
        <f>I3*2%</f>
        <v>0</v>
      </c>
      <c r="J5" s="9"/>
      <c r="K5" s="68">
        <f>K3*2%</f>
        <v>0</v>
      </c>
      <c r="L5" s="9"/>
      <c r="M5" s="39" t="str">
        <f>M3*2%</f>
        <v>#VALUE!</v>
      </c>
      <c r="N5" s="9"/>
      <c r="O5" s="71"/>
      <c r="P5" s="72"/>
      <c r="Q5" s="72"/>
      <c r="R5" s="72"/>
      <c r="S5" s="72"/>
      <c r="T5" s="72"/>
      <c r="U5" s="72"/>
      <c r="V5" s="72"/>
    </row>
    <row r="6">
      <c r="C6" s="25" t="s">
        <v>43</v>
      </c>
      <c r="D6" s="7"/>
      <c r="E6" s="9"/>
      <c r="F6" s="62"/>
      <c r="G6" s="65" t="str">
        <f>G3/G5</f>
        <v>#DIV/0!</v>
      </c>
      <c r="H6" s="66"/>
      <c r="I6" s="73"/>
      <c r="J6" s="9"/>
      <c r="K6" s="73"/>
      <c r="L6" s="9"/>
      <c r="M6" s="75"/>
      <c r="N6" s="9"/>
      <c r="O6" s="71"/>
      <c r="P6" s="72"/>
      <c r="Q6" s="72"/>
      <c r="R6" s="72"/>
      <c r="S6" s="72"/>
      <c r="T6" s="72"/>
      <c r="U6" s="72"/>
      <c r="V6" s="72"/>
    </row>
    <row r="7">
      <c r="C7" s="25" t="s">
        <v>52</v>
      </c>
      <c r="D7" s="7"/>
      <c r="E7" s="9"/>
      <c r="F7" s="11"/>
      <c r="G7" s="11"/>
      <c r="H7" s="66"/>
      <c r="I7" s="68"/>
      <c r="J7" s="9"/>
      <c r="K7" s="68"/>
      <c r="L7" s="9"/>
      <c r="M7" s="39"/>
      <c r="N7" s="9"/>
      <c r="O7" s="72"/>
      <c r="P7" s="72"/>
      <c r="Q7" s="72"/>
      <c r="R7" s="72"/>
      <c r="S7" s="72"/>
      <c r="T7" s="72"/>
      <c r="U7" s="72"/>
      <c r="V7" s="72"/>
    </row>
    <row r="8">
      <c r="A8" s="81"/>
      <c r="B8" s="81"/>
      <c r="C8" s="83" t="s">
        <v>55</v>
      </c>
      <c r="D8" s="7"/>
      <c r="E8" s="9"/>
      <c r="F8" s="11"/>
      <c r="G8" s="11" t="str">
        <f>AP39</f>
        <v/>
      </c>
      <c r="H8" s="87" t="str">
        <f>G8*100/G3/100</f>
        <v>#DIV/0!</v>
      </c>
      <c r="I8" s="88"/>
      <c r="J8" s="88"/>
      <c r="K8" s="88"/>
      <c r="L8" s="88"/>
      <c r="M8" s="75"/>
      <c r="N8" s="9"/>
      <c r="O8" s="90"/>
      <c r="P8" s="72"/>
      <c r="Q8" s="72"/>
      <c r="R8" s="72"/>
      <c r="S8" s="72"/>
      <c r="T8" s="72"/>
      <c r="U8" s="72"/>
      <c r="V8" s="72"/>
    </row>
    <row r="9">
      <c r="A9" s="81"/>
      <c r="B9" s="81"/>
      <c r="C9" s="83" t="s">
        <v>59</v>
      </c>
      <c r="D9" s="7"/>
      <c r="E9" s="9"/>
      <c r="F9" s="11"/>
      <c r="G9" s="92">
        <f>G8/4</f>
        <v>0</v>
      </c>
      <c r="H9" s="87" t="str">
        <f>G9*100/G3/100</f>
        <v>#DIV/0!</v>
      </c>
      <c r="I9" s="88"/>
      <c r="J9" s="88"/>
      <c r="K9" s="88"/>
      <c r="L9" s="88"/>
      <c r="M9" s="88"/>
      <c r="N9" s="88"/>
      <c r="O9" s="72"/>
      <c r="P9" s="72"/>
      <c r="Q9" s="72"/>
      <c r="R9" s="72"/>
      <c r="S9" s="72"/>
      <c r="T9" s="72"/>
      <c r="U9" s="72"/>
      <c r="V9" s="72"/>
    </row>
    <row r="10">
      <c r="A10" s="81"/>
      <c r="B10" s="95" t="s">
        <v>64</v>
      </c>
      <c r="C10" s="7"/>
      <c r="D10" s="7"/>
      <c r="E10" s="7"/>
      <c r="F10" s="7"/>
      <c r="G10" s="7"/>
      <c r="H10" s="7"/>
      <c r="I10" s="7"/>
      <c r="J10" s="7"/>
      <c r="K10" s="7"/>
      <c r="L10" s="9"/>
      <c r="M10" s="106"/>
      <c r="N10" s="72"/>
      <c r="O10" s="72"/>
      <c r="P10" s="72"/>
      <c r="Q10" s="72"/>
      <c r="R10" s="72"/>
      <c r="S10" s="109"/>
      <c r="T10" s="109"/>
      <c r="U10" s="72"/>
      <c r="V10" s="72"/>
    </row>
    <row r="11">
      <c r="A11" s="81"/>
      <c r="B11" s="97"/>
      <c r="C11" s="97"/>
      <c r="D11" s="98" t="s">
        <v>67</v>
      </c>
      <c r="E11" s="7"/>
      <c r="F11" s="7"/>
      <c r="G11" s="7"/>
      <c r="H11" s="7"/>
      <c r="I11" s="7"/>
      <c r="J11" s="7"/>
      <c r="K11" s="7"/>
      <c r="L11" s="9"/>
      <c r="M11" s="120"/>
      <c r="N11" s="100"/>
      <c r="O11" s="72"/>
      <c r="P11" s="72"/>
      <c r="Q11" s="72"/>
      <c r="R11" s="72"/>
      <c r="S11" s="109"/>
      <c r="T11" s="109"/>
      <c r="U11" s="72"/>
      <c r="V11" s="72"/>
    </row>
    <row r="12">
      <c r="A12" s="81"/>
      <c r="B12" s="101" t="s">
        <v>69</v>
      </c>
      <c r="C12" s="126" t="s">
        <v>70</v>
      </c>
      <c r="D12" s="103" t="s">
        <v>71</v>
      </c>
      <c r="E12" s="104" t="s">
        <v>72</v>
      </c>
      <c r="F12" s="102" t="s">
        <v>73</v>
      </c>
      <c r="G12" s="105" t="s">
        <v>74</v>
      </c>
      <c r="H12" s="105" t="s">
        <v>75</v>
      </c>
      <c r="I12" s="105" t="s">
        <v>76</v>
      </c>
      <c r="J12" s="105" t="s">
        <v>77</v>
      </c>
      <c r="K12" s="108" t="s">
        <v>79</v>
      </c>
      <c r="L12" s="105" t="s">
        <v>80</v>
      </c>
      <c r="M12" s="120"/>
      <c r="N12" s="72"/>
      <c r="O12" s="72"/>
      <c r="P12" s="72"/>
      <c r="Q12" s="72"/>
      <c r="R12" s="72"/>
      <c r="S12" s="109"/>
      <c r="T12" s="109"/>
      <c r="U12" s="72"/>
      <c r="V12" s="72"/>
    </row>
    <row r="13">
      <c r="A13" s="81"/>
      <c r="B13" s="139"/>
      <c r="C13" s="140"/>
      <c r="D13" s="117"/>
      <c r="E13" s="119"/>
      <c r="F13" s="121"/>
      <c r="G13" s="122"/>
      <c r="H13" s="123"/>
      <c r="I13" s="123"/>
      <c r="J13" s="125"/>
      <c r="K13" s="144">
        <f t="shared" ref="K13:K26" si="1">H13*70%</f>
        <v>0</v>
      </c>
      <c r="L13" s="144">
        <f t="shared" ref="L13:L26" si="2">H13-I13</f>
        <v>0</v>
      </c>
      <c r="M13" s="120"/>
      <c r="N13" s="72"/>
      <c r="O13" s="72"/>
      <c r="P13" s="72"/>
      <c r="Q13" s="72"/>
      <c r="R13" s="72"/>
      <c r="S13" s="109"/>
      <c r="T13" s="109"/>
      <c r="U13" s="72"/>
      <c r="V13" s="72"/>
    </row>
    <row r="14">
      <c r="A14" s="81"/>
      <c r="B14" s="125"/>
      <c r="C14" s="150"/>
      <c r="D14" s="135"/>
      <c r="E14" s="134"/>
      <c r="F14" s="121"/>
      <c r="G14" s="137"/>
      <c r="H14" s="152"/>
      <c r="I14" s="152"/>
      <c r="J14" s="125"/>
      <c r="K14" s="144">
        <f t="shared" si="1"/>
        <v>0</v>
      </c>
      <c r="L14" s="153">
        <f t="shared" si="2"/>
        <v>0</v>
      </c>
      <c r="M14" s="120"/>
      <c r="N14" s="82" t="s">
        <v>26</v>
      </c>
      <c r="O14" s="96"/>
      <c r="P14" s="47" t="s">
        <v>27</v>
      </c>
      <c r="Q14" s="49" t="s">
        <v>28</v>
      </c>
      <c r="R14" s="50" t="s">
        <v>29</v>
      </c>
      <c r="S14" s="70" t="s">
        <v>30</v>
      </c>
      <c r="T14" s="109"/>
      <c r="U14" s="72"/>
      <c r="V14" s="72"/>
    </row>
    <row r="15">
      <c r="A15" s="81"/>
      <c r="B15" s="125"/>
      <c r="C15" s="150"/>
      <c r="D15" s="135"/>
      <c r="E15" s="134"/>
      <c r="F15" s="155"/>
      <c r="G15" s="143"/>
      <c r="H15" s="138"/>
      <c r="I15" s="138"/>
      <c r="J15" s="125"/>
      <c r="K15" s="144">
        <f t="shared" si="1"/>
        <v>0</v>
      </c>
      <c r="L15" s="144">
        <f t="shared" si="2"/>
        <v>0</v>
      </c>
      <c r="M15" s="120"/>
      <c r="N15" s="82" t="s">
        <v>46</v>
      </c>
      <c r="O15" s="96" t="s">
        <v>46</v>
      </c>
      <c r="P15" s="47" t="s">
        <v>47</v>
      </c>
      <c r="Q15" s="49" t="s">
        <v>48</v>
      </c>
      <c r="R15" s="50"/>
      <c r="S15" s="70" t="s">
        <v>46</v>
      </c>
      <c r="T15" s="109"/>
      <c r="U15" s="72"/>
      <c r="V15" s="72"/>
    </row>
    <row r="16">
      <c r="A16" s="81"/>
      <c r="B16" s="157"/>
      <c r="C16" s="158"/>
      <c r="D16" s="149"/>
      <c r="E16" s="147"/>
      <c r="F16" s="147"/>
      <c r="G16" s="154"/>
      <c r="H16" s="162"/>
      <c r="I16" s="162"/>
      <c r="J16" s="149"/>
      <c r="K16" s="144">
        <f t="shared" si="1"/>
        <v>0</v>
      </c>
      <c r="L16" s="144">
        <f t="shared" si="2"/>
        <v>0</v>
      </c>
      <c r="M16" s="120"/>
      <c r="N16" s="82"/>
      <c r="O16" s="96"/>
      <c r="P16" s="111">
        <v>700000.0</v>
      </c>
      <c r="Q16" s="49"/>
      <c r="R16" s="50"/>
      <c r="S16" s="84"/>
      <c r="T16" s="109"/>
      <c r="U16" s="72"/>
      <c r="V16" s="72"/>
    </row>
    <row r="17">
      <c r="A17" s="81"/>
      <c r="B17" s="157"/>
      <c r="C17" s="158"/>
      <c r="D17" s="149"/>
      <c r="E17" s="147"/>
      <c r="F17" s="147"/>
      <c r="G17" s="154"/>
      <c r="H17" s="162"/>
      <c r="I17" s="162"/>
      <c r="J17" s="154"/>
      <c r="K17" s="144">
        <f t="shared" si="1"/>
        <v>0</v>
      </c>
      <c r="L17" s="144">
        <f t="shared" si="2"/>
        <v>0</v>
      </c>
      <c r="M17" s="120"/>
      <c r="N17" s="82"/>
      <c r="O17" s="91"/>
      <c r="P17" s="111">
        <v>1000000.0</v>
      </c>
      <c r="Q17" s="91"/>
      <c r="R17" s="50"/>
      <c r="S17" s="70"/>
      <c r="T17" s="109"/>
      <c r="U17" s="72"/>
      <c r="V17" s="72"/>
    </row>
    <row r="18">
      <c r="A18" s="81"/>
      <c r="B18" s="157"/>
      <c r="C18" s="158"/>
      <c r="D18" s="149"/>
      <c r="E18" s="147"/>
      <c r="F18" s="147"/>
      <c r="G18" s="154"/>
      <c r="H18" s="162"/>
      <c r="I18" s="162"/>
      <c r="J18" s="156"/>
      <c r="K18" s="144">
        <f t="shared" si="1"/>
        <v>0</v>
      </c>
      <c r="L18" s="144">
        <f t="shared" si="2"/>
        <v>0</v>
      </c>
      <c r="M18" s="120"/>
      <c r="N18" s="82"/>
      <c r="O18" s="96"/>
      <c r="P18" s="47"/>
      <c r="Q18" s="91"/>
      <c r="R18" s="50"/>
      <c r="S18" s="70"/>
      <c r="T18" s="109"/>
      <c r="U18" s="72"/>
      <c r="V18" s="72"/>
    </row>
    <row r="19">
      <c r="A19" s="81"/>
      <c r="B19" s="157"/>
      <c r="C19" s="158"/>
      <c r="D19" s="149"/>
      <c r="E19" s="147"/>
      <c r="F19" s="147"/>
      <c r="G19" s="154"/>
      <c r="H19" s="162"/>
      <c r="I19" s="162"/>
      <c r="J19" s="149"/>
      <c r="K19" s="144">
        <f t="shared" si="1"/>
        <v>0</v>
      </c>
      <c r="L19" s="144">
        <f t="shared" si="2"/>
        <v>0</v>
      </c>
      <c r="M19" s="120"/>
      <c r="N19" s="82"/>
      <c r="O19" s="96"/>
      <c r="P19" s="47"/>
      <c r="Q19" s="49"/>
      <c r="R19" s="50"/>
      <c r="S19" s="70"/>
      <c r="T19" s="109"/>
      <c r="U19" s="72"/>
      <c r="V19" s="72"/>
    </row>
    <row r="20">
      <c r="A20" s="81"/>
      <c r="B20" s="157"/>
      <c r="C20" s="158"/>
      <c r="D20" s="149"/>
      <c r="E20" s="147"/>
      <c r="F20" s="147"/>
      <c r="G20" s="154"/>
      <c r="H20" s="162"/>
      <c r="I20" s="162"/>
      <c r="J20" s="149"/>
      <c r="K20" s="144">
        <f t="shared" si="1"/>
        <v>0</v>
      </c>
      <c r="L20" s="144">
        <f t="shared" si="2"/>
        <v>0</v>
      </c>
      <c r="M20" s="120"/>
      <c r="N20" s="82"/>
      <c r="O20" s="96"/>
      <c r="P20" s="129"/>
      <c r="Q20" s="91"/>
      <c r="R20" s="50"/>
      <c r="S20" s="70"/>
      <c r="T20" s="109"/>
      <c r="U20" s="72"/>
      <c r="V20" s="72"/>
    </row>
    <row r="21">
      <c r="A21" s="81"/>
      <c r="B21" s="157"/>
      <c r="C21" s="158"/>
      <c r="D21" s="149"/>
      <c r="E21" s="147"/>
      <c r="F21" s="147"/>
      <c r="G21" s="154"/>
      <c r="H21" s="162"/>
      <c r="I21" s="162"/>
      <c r="J21" s="156"/>
      <c r="K21" s="144">
        <f t="shared" si="1"/>
        <v>0</v>
      </c>
      <c r="L21" s="144">
        <f t="shared" si="2"/>
        <v>0</v>
      </c>
      <c r="M21" s="120"/>
      <c r="N21" s="141"/>
      <c r="O21" s="96"/>
      <c r="P21" s="47"/>
      <c r="Q21" s="49"/>
      <c r="R21" s="50"/>
      <c r="S21" s="70"/>
      <c r="T21" s="109"/>
      <c r="U21" s="72"/>
      <c r="V21" s="72"/>
    </row>
    <row r="22">
      <c r="A22" s="81"/>
      <c r="B22" s="157"/>
      <c r="C22" s="158"/>
      <c r="D22" s="167"/>
      <c r="E22" s="147"/>
      <c r="F22" s="147"/>
      <c r="G22" s="154"/>
      <c r="H22" s="162"/>
      <c r="I22" s="162"/>
      <c r="J22" s="167"/>
      <c r="K22" s="144">
        <f t="shared" si="1"/>
        <v>0</v>
      </c>
      <c r="L22" s="144">
        <f t="shared" si="2"/>
        <v>0</v>
      </c>
      <c r="M22" s="120"/>
      <c r="N22" s="82"/>
      <c r="O22" s="96"/>
      <c r="P22" s="47"/>
      <c r="Q22" s="91"/>
      <c r="R22" s="50"/>
      <c r="S22" s="70"/>
      <c r="T22" s="109"/>
      <c r="U22" s="72"/>
      <c r="V22" s="72"/>
    </row>
    <row r="23">
      <c r="A23" s="81"/>
      <c r="B23" s="157"/>
      <c r="C23" s="158"/>
      <c r="D23" s="156"/>
      <c r="E23" s="147"/>
      <c r="F23" s="147"/>
      <c r="G23" s="154"/>
      <c r="H23" s="162"/>
      <c r="I23" s="162"/>
      <c r="J23" s="156"/>
      <c r="K23" s="144">
        <f t="shared" si="1"/>
        <v>0</v>
      </c>
      <c r="L23" s="144">
        <f t="shared" si="2"/>
        <v>0</v>
      </c>
      <c r="M23" s="120"/>
      <c r="N23" s="82"/>
      <c r="O23" s="96"/>
      <c r="P23" s="47"/>
      <c r="Q23" s="91"/>
      <c r="R23" s="50"/>
      <c r="S23" s="70"/>
      <c r="T23" s="109"/>
      <c r="U23" s="72"/>
      <c r="V23" s="72"/>
    </row>
    <row r="24">
      <c r="A24" s="81"/>
      <c r="B24" s="157"/>
      <c r="C24" s="158"/>
      <c r="D24" s="149"/>
      <c r="E24" s="147"/>
      <c r="F24" s="147"/>
      <c r="G24" s="154"/>
      <c r="H24" s="162"/>
      <c r="I24" s="162"/>
      <c r="J24" s="156"/>
      <c r="K24" s="144">
        <f t="shared" si="1"/>
        <v>0</v>
      </c>
      <c r="L24" s="144">
        <f t="shared" si="2"/>
        <v>0</v>
      </c>
      <c r="M24" s="120"/>
      <c r="N24" s="82"/>
      <c r="O24" s="96"/>
      <c r="P24" s="129"/>
      <c r="Q24" s="49"/>
      <c r="R24" s="50"/>
      <c r="S24" s="70"/>
      <c r="T24" s="109"/>
      <c r="U24" s="72"/>
      <c r="V24" s="72"/>
    </row>
    <row r="25">
      <c r="A25" s="81"/>
      <c r="B25" s="157"/>
      <c r="C25" s="158"/>
      <c r="D25" s="149"/>
      <c r="E25" s="147"/>
      <c r="F25" s="147"/>
      <c r="G25" s="154"/>
      <c r="H25" s="162"/>
      <c r="I25" s="162"/>
      <c r="J25" s="156"/>
      <c r="K25" s="144">
        <f t="shared" si="1"/>
        <v>0</v>
      </c>
      <c r="L25" s="144">
        <f t="shared" si="2"/>
        <v>0</v>
      </c>
      <c r="M25" s="120"/>
      <c r="N25" s="141"/>
      <c r="O25" s="96"/>
      <c r="P25" s="47"/>
      <c r="Q25" s="49"/>
      <c r="R25" s="50"/>
      <c r="S25" s="70"/>
      <c r="T25" s="109"/>
      <c r="U25" s="72"/>
      <c r="V25" s="72"/>
    </row>
    <row r="26">
      <c r="A26" s="81"/>
      <c r="B26" s="157"/>
      <c r="C26" s="158"/>
      <c r="D26" s="149"/>
      <c r="E26" s="147"/>
      <c r="F26" s="147"/>
      <c r="G26" s="154"/>
      <c r="H26" s="162"/>
      <c r="I26" s="162"/>
      <c r="J26" s="149"/>
      <c r="K26" s="144">
        <f t="shared" si="1"/>
        <v>0</v>
      </c>
      <c r="L26" s="144">
        <f t="shared" si="2"/>
        <v>0</v>
      </c>
      <c r="M26" s="120"/>
      <c r="N26" s="82"/>
      <c r="O26" s="96"/>
      <c r="P26" s="47"/>
      <c r="Q26" s="49"/>
      <c r="R26" s="50"/>
      <c r="S26" s="70"/>
      <c r="T26" s="109"/>
      <c r="U26" s="72"/>
      <c r="V26" s="72"/>
    </row>
    <row r="27">
      <c r="A27" s="81"/>
      <c r="B27" s="81"/>
      <c r="C27" s="81"/>
      <c r="D27" s="81"/>
      <c r="E27" s="81"/>
      <c r="F27" s="81"/>
      <c r="G27" s="178" t="s">
        <v>130</v>
      </c>
      <c r="H27" s="179">
        <f t="shared" ref="H27:I27" si="3">SUM(H13:H26)</f>
        <v>0</v>
      </c>
      <c r="I27" s="179">
        <f t="shared" si="3"/>
        <v>0</v>
      </c>
      <c r="J27" s="81"/>
      <c r="K27" s="180">
        <f t="shared" ref="K27:L27" si="4">SUM(K13:K26)</f>
        <v>0</v>
      </c>
      <c r="L27" s="180">
        <f t="shared" si="4"/>
        <v>0</v>
      </c>
      <c r="M27" s="120"/>
      <c r="N27" s="82"/>
      <c r="O27" s="96"/>
      <c r="P27" s="47"/>
      <c r="Q27" s="49"/>
      <c r="R27" s="50"/>
      <c r="S27" s="70"/>
      <c r="T27" s="109"/>
      <c r="U27" s="72"/>
      <c r="V27" s="72"/>
    </row>
    <row r="28">
      <c r="A28" s="81"/>
      <c r="B28" s="81"/>
      <c r="C28" s="81"/>
      <c r="D28" s="177"/>
      <c r="E28" s="177"/>
      <c r="F28" s="177"/>
      <c r="G28" s="177"/>
      <c r="H28" s="177"/>
      <c r="I28" s="177"/>
      <c r="J28" s="177"/>
      <c r="K28" s="181"/>
      <c r="L28" s="181"/>
      <c r="M28" s="120"/>
      <c r="N28" s="82"/>
      <c r="O28" s="96"/>
      <c r="P28" s="47"/>
      <c r="Q28" s="49"/>
      <c r="R28" s="50"/>
      <c r="S28" s="70"/>
      <c r="T28" s="109"/>
      <c r="U28" s="72"/>
      <c r="V28" s="72"/>
    </row>
    <row r="29">
      <c r="M29" s="120"/>
      <c r="N29" s="171"/>
      <c r="O29" s="172"/>
      <c r="P29" s="47"/>
      <c r="Q29" s="49"/>
      <c r="R29" s="50"/>
      <c r="S29" s="70"/>
      <c r="T29" s="109"/>
      <c r="U29" s="72"/>
      <c r="V29" s="72"/>
    </row>
    <row r="30">
      <c r="M30" s="120"/>
      <c r="N30" s="141">
        <f t="shared" ref="N30:Q30" si="5">SUM(N16:N29)</f>
        <v>0</v>
      </c>
      <c r="O30" s="132">
        <f t="shared" si="5"/>
        <v>0</v>
      </c>
      <c r="P30" s="129">
        <f t="shared" si="5"/>
        <v>1700000</v>
      </c>
      <c r="Q30" s="91">
        <f t="shared" si="5"/>
        <v>0</v>
      </c>
      <c r="R30" s="176">
        <f t="shared" ref="R30:S30" si="6">SUM(R15:R29)</f>
        <v>0</v>
      </c>
      <c r="S30" s="84">
        <f t="shared" si="6"/>
        <v>0</v>
      </c>
      <c r="T30" s="109"/>
      <c r="U30" s="72"/>
      <c r="V30" s="72"/>
    </row>
    <row r="31">
      <c r="M31" s="120"/>
      <c r="N31" s="100"/>
      <c r="O31" s="71"/>
      <c r="P31" s="72"/>
      <c r="Q31" s="72"/>
      <c r="R31" s="72"/>
      <c r="S31" s="109"/>
      <c r="T31" s="109"/>
      <c r="U31" s="72"/>
      <c r="V31" s="72"/>
    </row>
    <row r="32">
      <c r="B32" s="182" t="s">
        <v>132</v>
      </c>
      <c r="C32" s="7"/>
      <c r="D32" s="7"/>
      <c r="E32" s="7"/>
      <c r="F32" s="7"/>
      <c r="G32" s="7"/>
      <c r="H32" s="7"/>
      <c r="I32" s="7"/>
      <c r="J32" s="7"/>
      <c r="K32" s="7"/>
      <c r="L32" s="9"/>
      <c r="M32" s="120"/>
      <c r="N32" s="100"/>
      <c r="O32" s="71"/>
      <c r="P32" s="72"/>
      <c r="Q32" s="72"/>
      <c r="R32" s="72"/>
      <c r="S32" s="109"/>
      <c r="T32" s="109"/>
      <c r="U32" s="72"/>
      <c r="V32" s="72"/>
    </row>
    <row r="33">
      <c r="B33" s="183"/>
      <c r="C33" s="183"/>
      <c r="D33" s="184" t="s">
        <v>67</v>
      </c>
      <c r="E33" s="7"/>
      <c r="F33" s="7"/>
      <c r="G33" s="7"/>
      <c r="H33" s="7"/>
      <c r="I33" s="7"/>
      <c r="J33" s="7"/>
      <c r="K33" s="7"/>
      <c r="L33" s="9"/>
      <c r="M33" s="120"/>
      <c r="N33" s="185"/>
      <c r="O33" s="81"/>
      <c r="P33" s="109"/>
      <c r="Q33" s="109"/>
      <c r="R33" s="109"/>
      <c r="S33" s="109"/>
      <c r="T33" s="109"/>
      <c r="U33" s="72"/>
      <c r="V33" s="72"/>
    </row>
    <row r="34">
      <c r="B34" s="187" t="s">
        <v>69</v>
      </c>
      <c r="C34" s="224" t="s">
        <v>70</v>
      </c>
      <c r="D34" s="189" t="s">
        <v>71</v>
      </c>
      <c r="E34" s="190" t="s">
        <v>72</v>
      </c>
      <c r="F34" s="191" t="s">
        <v>73</v>
      </c>
      <c r="G34" s="192" t="s">
        <v>74</v>
      </c>
      <c r="H34" s="192" t="s">
        <v>75</v>
      </c>
      <c r="I34" s="192" t="s">
        <v>76</v>
      </c>
      <c r="J34" s="192" t="s">
        <v>77</v>
      </c>
      <c r="K34" s="193" t="s">
        <v>79</v>
      </c>
      <c r="L34" s="194" t="s">
        <v>80</v>
      </c>
      <c r="M34" s="120"/>
      <c r="N34" s="185"/>
      <c r="O34" s="81"/>
      <c r="P34" s="109"/>
      <c r="Q34" s="109"/>
      <c r="R34" s="109"/>
      <c r="S34" s="109"/>
      <c r="T34" s="109"/>
      <c r="U34" s="72"/>
      <c r="V34" s="72"/>
    </row>
    <row r="35">
      <c r="B35" s="195"/>
      <c r="C35" s="227"/>
      <c r="D35" s="198"/>
      <c r="E35" s="199"/>
      <c r="F35" s="200"/>
      <c r="G35" s="201"/>
      <c r="H35" s="201"/>
      <c r="I35" s="202"/>
      <c r="J35" s="203"/>
      <c r="K35" s="204">
        <f t="shared" ref="K35:K48" si="7">H35*70%</f>
        <v>0</v>
      </c>
      <c r="L35" s="206">
        <f t="shared" ref="L35:L48" si="8">H35-I35</f>
        <v>0</v>
      </c>
      <c r="M35" s="120"/>
      <c r="N35" s="185"/>
      <c r="O35" s="81"/>
      <c r="P35" s="81"/>
      <c r="Q35" s="81"/>
      <c r="R35" s="81"/>
      <c r="S35" s="81"/>
      <c r="T35" s="81"/>
    </row>
    <row r="36">
      <c r="B36" s="203"/>
      <c r="C36" s="229"/>
      <c r="D36" s="209"/>
      <c r="E36" s="200"/>
      <c r="F36" s="200"/>
      <c r="G36" s="210"/>
      <c r="H36" s="210"/>
      <c r="I36" s="211"/>
      <c r="J36" s="203"/>
      <c r="K36" s="204">
        <f t="shared" si="7"/>
        <v>0</v>
      </c>
      <c r="L36" s="206">
        <f t="shared" si="8"/>
        <v>0</v>
      </c>
      <c r="M36" s="120"/>
      <c r="N36" s="185"/>
      <c r="O36" s="81"/>
      <c r="P36" s="81"/>
      <c r="Q36" s="81"/>
      <c r="R36" s="81"/>
      <c r="S36" s="81"/>
      <c r="T36" s="81"/>
    </row>
    <row r="37">
      <c r="B37" s="212"/>
      <c r="C37" s="233"/>
      <c r="D37" s="213"/>
      <c r="E37" s="183"/>
      <c r="F37" s="214"/>
      <c r="G37" s="215"/>
      <c r="H37" s="217"/>
      <c r="I37" s="218"/>
      <c r="J37" s="217"/>
      <c r="K37" s="204">
        <f t="shared" si="7"/>
        <v>0</v>
      </c>
      <c r="L37" s="206">
        <f t="shared" si="8"/>
        <v>0</v>
      </c>
      <c r="M37" s="120"/>
      <c r="N37" s="185"/>
      <c r="O37" s="81"/>
      <c r="P37" s="81"/>
      <c r="Q37" s="81"/>
      <c r="R37" s="81"/>
      <c r="S37" s="81"/>
      <c r="T37" s="81"/>
    </row>
    <row r="38">
      <c r="B38" s="212"/>
      <c r="C38" s="233"/>
      <c r="D38" s="213"/>
      <c r="E38" s="183"/>
      <c r="F38" s="183"/>
      <c r="G38" s="217"/>
      <c r="H38" s="217"/>
      <c r="I38" s="218"/>
      <c r="J38" s="213"/>
      <c r="K38" s="204">
        <f t="shared" si="7"/>
        <v>0</v>
      </c>
      <c r="L38" s="206">
        <f t="shared" si="8"/>
        <v>0</v>
      </c>
      <c r="M38" s="120"/>
      <c r="N38" s="185"/>
      <c r="O38" s="81"/>
      <c r="P38" s="81"/>
      <c r="Q38" s="81"/>
      <c r="R38" s="81"/>
      <c r="S38" s="81"/>
      <c r="T38" s="81"/>
    </row>
    <row r="39">
      <c r="B39" s="212"/>
      <c r="C39" s="233"/>
      <c r="D39" s="213"/>
      <c r="E39" s="183"/>
      <c r="F39" s="183"/>
      <c r="G39" s="217"/>
      <c r="H39" s="217"/>
      <c r="I39" s="218"/>
      <c r="J39" s="217"/>
      <c r="K39" s="204">
        <f t="shared" si="7"/>
        <v>0</v>
      </c>
      <c r="L39" s="206">
        <f t="shared" si="8"/>
        <v>0</v>
      </c>
      <c r="M39" s="120"/>
      <c r="N39" s="185"/>
      <c r="O39" s="81"/>
      <c r="P39" s="81"/>
      <c r="Q39" s="81"/>
      <c r="R39" s="81"/>
      <c r="S39" s="81"/>
      <c r="T39" s="81"/>
    </row>
    <row r="40">
      <c r="B40" s="212"/>
      <c r="C40" s="233"/>
      <c r="D40" s="213"/>
      <c r="E40" s="183"/>
      <c r="F40" s="183"/>
      <c r="G40" s="217"/>
      <c r="H40" s="217"/>
      <c r="I40" s="218"/>
      <c r="J40" s="222"/>
      <c r="K40" s="204">
        <f t="shared" si="7"/>
        <v>0</v>
      </c>
      <c r="L40" s="206">
        <f t="shared" si="8"/>
        <v>0</v>
      </c>
    </row>
    <row r="41">
      <c r="B41" s="212"/>
      <c r="C41" s="233"/>
      <c r="D41" s="213"/>
      <c r="E41" s="183"/>
      <c r="F41" s="183"/>
      <c r="G41" s="217"/>
      <c r="H41" s="217"/>
      <c r="I41" s="218"/>
      <c r="J41" s="213"/>
      <c r="K41" s="204">
        <f t="shared" si="7"/>
        <v>0</v>
      </c>
      <c r="L41" s="206">
        <f t="shared" si="8"/>
        <v>0</v>
      </c>
    </row>
    <row r="42">
      <c r="B42" s="212"/>
      <c r="C42" s="233"/>
      <c r="D42" s="213"/>
      <c r="E42" s="183"/>
      <c r="F42" s="183"/>
      <c r="G42" s="217"/>
      <c r="H42" s="217"/>
      <c r="I42" s="218"/>
      <c r="J42" s="213"/>
      <c r="K42" s="204">
        <f t="shared" si="7"/>
        <v>0</v>
      </c>
      <c r="L42" s="206">
        <f t="shared" si="8"/>
        <v>0</v>
      </c>
    </row>
    <row r="43">
      <c r="B43" s="212"/>
      <c r="C43" s="233"/>
      <c r="D43" s="213"/>
      <c r="E43" s="183"/>
      <c r="F43" s="183"/>
      <c r="G43" s="217"/>
      <c r="H43" s="217"/>
      <c r="I43" s="218"/>
      <c r="J43" s="222"/>
      <c r="K43" s="204">
        <f t="shared" si="7"/>
        <v>0</v>
      </c>
      <c r="L43" s="206">
        <f t="shared" si="8"/>
        <v>0</v>
      </c>
    </row>
    <row r="44">
      <c r="B44" s="212"/>
      <c r="C44" s="233"/>
      <c r="D44" s="226"/>
      <c r="E44" s="183"/>
      <c r="F44" s="183"/>
      <c r="G44" s="217"/>
      <c r="H44" s="217"/>
      <c r="I44" s="218"/>
      <c r="J44" s="226"/>
      <c r="K44" s="204">
        <f t="shared" si="7"/>
        <v>0</v>
      </c>
      <c r="L44" s="206">
        <f t="shared" si="8"/>
        <v>0</v>
      </c>
    </row>
    <row r="45">
      <c r="B45" s="212"/>
      <c r="C45" s="233"/>
      <c r="D45" s="222"/>
      <c r="E45" s="183"/>
      <c r="F45" s="183"/>
      <c r="G45" s="217"/>
      <c r="H45" s="217"/>
      <c r="I45" s="218"/>
      <c r="J45" s="222"/>
      <c r="K45" s="204">
        <f t="shared" si="7"/>
        <v>0</v>
      </c>
      <c r="L45" s="206">
        <f t="shared" si="8"/>
        <v>0</v>
      </c>
    </row>
    <row r="46">
      <c r="B46" s="212"/>
      <c r="C46" s="233"/>
      <c r="D46" s="213"/>
      <c r="E46" s="183"/>
      <c r="F46" s="183"/>
      <c r="G46" s="217"/>
      <c r="H46" s="217"/>
      <c r="I46" s="218"/>
      <c r="J46" s="222"/>
      <c r="K46" s="204">
        <f t="shared" si="7"/>
        <v>0</v>
      </c>
      <c r="L46" s="206">
        <f t="shared" si="8"/>
        <v>0</v>
      </c>
    </row>
    <row r="47">
      <c r="B47" s="212"/>
      <c r="C47" s="233"/>
      <c r="D47" s="213"/>
      <c r="E47" s="183"/>
      <c r="F47" s="183"/>
      <c r="G47" s="217"/>
      <c r="H47" s="217"/>
      <c r="I47" s="218"/>
      <c r="J47" s="222"/>
      <c r="K47" s="204">
        <f t="shared" si="7"/>
        <v>0</v>
      </c>
      <c r="L47" s="206">
        <f t="shared" si="8"/>
        <v>0</v>
      </c>
    </row>
    <row r="48">
      <c r="B48" s="212"/>
      <c r="C48" s="233"/>
      <c r="D48" s="213"/>
      <c r="E48" s="183"/>
      <c r="F48" s="183"/>
      <c r="G48" s="217"/>
      <c r="H48" s="217"/>
      <c r="I48" s="218"/>
      <c r="J48" s="213"/>
      <c r="K48" s="204">
        <f t="shared" si="7"/>
        <v>0</v>
      </c>
      <c r="L48" s="206">
        <f t="shared" si="8"/>
        <v>0</v>
      </c>
    </row>
    <row r="49">
      <c r="B49" s="81"/>
      <c r="C49" s="81"/>
      <c r="D49" s="81"/>
      <c r="E49" s="81"/>
      <c r="F49" s="81"/>
      <c r="G49" s="178" t="s">
        <v>130</v>
      </c>
      <c r="H49" s="232">
        <f t="shared" ref="H49:I49" si="9">SUM(H35:H48)</f>
        <v>0</v>
      </c>
      <c r="I49" s="179">
        <f t="shared" si="9"/>
        <v>0</v>
      </c>
      <c r="J49" s="81"/>
      <c r="K49" s="180">
        <f t="shared" ref="K49:L49" si="10">SUM(K35:K48)</f>
        <v>0</v>
      </c>
      <c r="L49" s="180">
        <f t="shared" si="10"/>
        <v>0</v>
      </c>
    </row>
  </sheetData>
  <mergeCells count="31">
    <mergeCell ref="C2:E2"/>
    <mergeCell ref="I2:J2"/>
    <mergeCell ref="K2:L2"/>
    <mergeCell ref="M2:N2"/>
    <mergeCell ref="I3:J3"/>
    <mergeCell ref="K3:L3"/>
    <mergeCell ref="M3:N3"/>
    <mergeCell ref="K5:L5"/>
    <mergeCell ref="M5:N5"/>
    <mergeCell ref="I5:J5"/>
    <mergeCell ref="I6:J6"/>
    <mergeCell ref="K6:L6"/>
    <mergeCell ref="M6:N6"/>
    <mergeCell ref="C3:E3"/>
    <mergeCell ref="C4:E4"/>
    <mergeCell ref="I4:J4"/>
    <mergeCell ref="K4:L4"/>
    <mergeCell ref="M4:N4"/>
    <mergeCell ref="C5:E5"/>
    <mergeCell ref="C6:E6"/>
    <mergeCell ref="B10:L10"/>
    <mergeCell ref="D11:L11"/>
    <mergeCell ref="B32:L32"/>
    <mergeCell ref="D33:L33"/>
    <mergeCell ref="C7:E7"/>
    <mergeCell ref="I7:J7"/>
    <mergeCell ref="K7:L7"/>
    <mergeCell ref="M7:N7"/>
    <mergeCell ref="C8:E8"/>
    <mergeCell ref="M8:N8"/>
    <mergeCell ref="C9:E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16.88"/>
    <col customWidth="1" min="5" max="5" width="19.38"/>
    <col customWidth="1" min="6" max="6" width="16.63"/>
    <col customWidth="1" min="7" max="7" width="25.13"/>
    <col customWidth="1" min="8" max="8" width="20.63"/>
    <col customWidth="1" min="9" max="9" width="21.38"/>
    <col customWidth="1" min="10" max="10" width="20.25"/>
    <col customWidth="1" min="11" max="11" width="19.13"/>
    <col customWidth="1" min="12" max="12" width="14.13"/>
    <col customWidth="1" min="13" max="13" width="20.13"/>
    <col customWidth="1" min="14" max="14" width="19.38"/>
    <col customWidth="1" min="15" max="15" width="15.88"/>
    <col customWidth="1" min="16" max="16" width="18.88"/>
    <col customWidth="1" min="17" max="17" width="15.63"/>
    <col customWidth="1" min="18" max="18" width="17.38"/>
  </cols>
  <sheetData>
    <row r="1">
      <c r="C1" s="1"/>
    </row>
    <row r="2">
      <c r="C2" s="5" t="s">
        <v>0</v>
      </c>
      <c r="D2" s="7"/>
      <c r="E2" s="9"/>
      <c r="F2" s="11"/>
      <c r="G2" s="12">
        <v>4.0E7</v>
      </c>
      <c r="H2" s="14">
        <f>G2/10000000/6</f>
        <v>0.6666666667</v>
      </c>
      <c r="I2" s="16" t="s">
        <v>2</v>
      </c>
      <c r="J2" s="9"/>
      <c r="K2" s="20" t="s">
        <v>7</v>
      </c>
      <c r="L2" s="9"/>
      <c r="M2" s="22"/>
      <c r="N2" s="9"/>
    </row>
    <row r="3">
      <c r="C3" s="25" t="s">
        <v>10</v>
      </c>
      <c r="D3" s="7"/>
      <c r="E3" s="9"/>
      <c r="F3" s="11"/>
      <c r="G3" s="31">
        <f>G101+I3+K3</f>
        <v>31330612</v>
      </c>
      <c r="H3" s="14">
        <f>G3*100/G2/100</f>
        <v>0.7832653</v>
      </c>
      <c r="I3" s="34">
        <f>H27</f>
        <v>31330612</v>
      </c>
      <c r="J3" s="9"/>
      <c r="K3" s="34">
        <f>H49</f>
        <v>0</v>
      </c>
      <c r="L3" s="9"/>
      <c r="M3" s="39" t="str">
        <f>I45+G14+G21+G24+G27+G46</f>
        <v>#VALUE!</v>
      </c>
      <c r="N3" s="9"/>
    </row>
    <row r="4">
      <c r="C4" s="41" t="s">
        <v>23</v>
      </c>
      <c r="D4" s="7"/>
      <c r="E4" s="9"/>
      <c r="F4" s="11"/>
      <c r="G4" s="43">
        <f>G2-G3</f>
        <v>8669388</v>
      </c>
      <c r="H4" s="46">
        <f>G4*100/G2/100</f>
        <v>0.2167347</v>
      </c>
      <c r="I4" s="48">
        <f>20000000-I3</f>
        <v>-11330612</v>
      </c>
      <c r="J4" s="9"/>
      <c r="K4" s="53">
        <f>20000000-K3</f>
        <v>20000000</v>
      </c>
      <c r="L4" s="9"/>
      <c r="M4" s="39" t="str">
        <f>20000000-M3</f>
        <v>#VALUE!</v>
      </c>
      <c r="N4" s="9"/>
      <c r="O4" s="57"/>
      <c r="P4" s="57"/>
      <c r="Q4" s="57"/>
      <c r="R4" s="57"/>
      <c r="S4" s="57"/>
      <c r="T4" s="57"/>
    </row>
    <row r="5">
      <c r="C5" s="25" t="s">
        <v>34</v>
      </c>
      <c r="D5" s="7"/>
      <c r="E5" s="9"/>
      <c r="F5" s="62"/>
      <c r="G5" s="65">
        <f>COUNT(B13:B26)</f>
        <v>7</v>
      </c>
      <c r="H5" s="66"/>
      <c r="I5" s="68">
        <f>I3*2%</f>
        <v>626612.24</v>
      </c>
      <c r="J5" s="9"/>
      <c r="K5" s="68">
        <f>K3*2%</f>
        <v>0</v>
      </c>
      <c r="L5" s="9"/>
      <c r="M5" s="39" t="str">
        <f>M3*2%</f>
        <v>#VALUE!</v>
      </c>
      <c r="N5" s="9"/>
      <c r="O5" s="71"/>
      <c r="P5" s="72"/>
      <c r="Q5" s="72"/>
      <c r="R5" s="72"/>
      <c r="S5" s="72"/>
      <c r="T5" s="72"/>
      <c r="U5" s="72"/>
      <c r="V5" s="72"/>
    </row>
    <row r="6">
      <c r="C6" s="25" t="s">
        <v>43</v>
      </c>
      <c r="D6" s="7"/>
      <c r="E6" s="9"/>
      <c r="F6" s="62"/>
      <c r="G6" s="65">
        <f>G3/G5</f>
        <v>4475801.714</v>
      </c>
      <c r="H6" s="66"/>
      <c r="I6" s="73"/>
      <c r="J6" s="9"/>
      <c r="K6" s="73"/>
      <c r="L6" s="9"/>
      <c r="M6" s="75"/>
      <c r="N6" s="9"/>
      <c r="O6" s="71"/>
      <c r="P6" s="72"/>
      <c r="Q6" s="72"/>
      <c r="R6" s="72"/>
      <c r="S6" s="72"/>
      <c r="T6" s="72"/>
      <c r="U6" s="72"/>
      <c r="V6" s="72"/>
    </row>
    <row r="7">
      <c r="C7" s="25" t="s">
        <v>52</v>
      </c>
      <c r="D7" s="7"/>
      <c r="E7" s="9"/>
      <c r="F7" s="11"/>
      <c r="G7" s="11"/>
      <c r="H7" s="66"/>
      <c r="I7" s="68"/>
      <c r="J7" s="9"/>
      <c r="K7" s="68"/>
      <c r="L7" s="9"/>
      <c r="M7" s="39"/>
      <c r="N7" s="9"/>
      <c r="O7" s="72"/>
      <c r="P7" s="72"/>
      <c r="Q7" s="72"/>
      <c r="R7" s="72"/>
      <c r="S7" s="72"/>
      <c r="T7" s="72"/>
      <c r="U7" s="72"/>
      <c r="V7" s="72"/>
    </row>
    <row r="8">
      <c r="A8" s="81"/>
      <c r="B8" s="81"/>
      <c r="C8" s="83" t="s">
        <v>55</v>
      </c>
      <c r="D8" s="7"/>
      <c r="E8" s="9"/>
      <c r="F8" s="11"/>
      <c r="G8" s="11" t="str">
        <f>AP39</f>
        <v/>
      </c>
      <c r="H8" s="87">
        <f>G8*100/G3/100</f>
        <v>0</v>
      </c>
      <c r="I8" s="88"/>
      <c r="J8" s="88"/>
      <c r="K8" s="88"/>
      <c r="L8" s="88"/>
      <c r="M8" s="75"/>
      <c r="N8" s="9"/>
      <c r="O8" s="90"/>
      <c r="P8" s="72"/>
      <c r="Q8" s="72"/>
      <c r="R8" s="72"/>
      <c r="S8" s="72"/>
      <c r="T8" s="72"/>
      <c r="U8" s="72"/>
      <c r="V8" s="72"/>
    </row>
    <row r="9">
      <c r="A9" s="81"/>
      <c r="B9" s="81"/>
      <c r="C9" s="83" t="s">
        <v>59</v>
      </c>
      <c r="D9" s="7"/>
      <c r="E9" s="9"/>
      <c r="F9" s="11"/>
      <c r="G9" s="92">
        <f>G8/4</f>
        <v>0</v>
      </c>
      <c r="H9" s="87">
        <f>G9*100/G3/100</f>
        <v>0</v>
      </c>
      <c r="I9" s="88"/>
      <c r="J9" s="88"/>
      <c r="K9" s="88"/>
      <c r="L9" s="88"/>
      <c r="M9" s="88"/>
      <c r="N9" s="88"/>
      <c r="O9" s="72"/>
      <c r="P9" s="72"/>
      <c r="Q9" s="72"/>
      <c r="R9" s="72"/>
      <c r="S9" s="72"/>
      <c r="T9" s="72"/>
      <c r="U9" s="72"/>
      <c r="V9" s="72"/>
    </row>
    <row r="10">
      <c r="A10" s="81"/>
      <c r="B10" s="95" t="s">
        <v>64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9"/>
      <c r="N10" s="72"/>
      <c r="S10" s="82" t="s">
        <v>26</v>
      </c>
      <c r="T10" s="96"/>
      <c r="U10" s="47" t="s">
        <v>27</v>
      </c>
      <c r="V10" s="49" t="s">
        <v>28</v>
      </c>
      <c r="W10" s="50" t="s">
        <v>29</v>
      </c>
      <c r="X10" s="70" t="s">
        <v>30</v>
      </c>
    </row>
    <row r="11">
      <c r="A11" s="81"/>
      <c r="B11" s="97"/>
      <c r="C11" s="97"/>
      <c r="D11" s="98" t="s">
        <v>67</v>
      </c>
      <c r="E11" s="7"/>
      <c r="F11" s="7"/>
      <c r="G11" s="7"/>
      <c r="H11" s="7"/>
      <c r="I11" s="7"/>
      <c r="J11" s="7"/>
      <c r="K11" s="7"/>
      <c r="L11" s="7"/>
      <c r="M11" s="9"/>
      <c r="N11" s="100"/>
      <c r="S11" s="82" t="s">
        <v>46</v>
      </c>
      <c r="T11" s="96" t="s">
        <v>46</v>
      </c>
      <c r="U11" s="47" t="s">
        <v>47</v>
      </c>
      <c r="V11" s="49" t="s">
        <v>48</v>
      </c>
      <c r="W11" s="50"/>
      <c r="X11" s="70" t="s">
        <v>46</v>
      </c>
    </row>
    <row r="12">
      <c r="A12" s="81"/>
      <c r="B12" s="101" t="s">
        <v>69</v>
      </c>
      <c r="C12" s="102" t="s">
        <v>70</v>
      </c>
      <c r="D12" s="103" t="s">
        <v>71</v>
      </c>
      <c r="E12" s="104" t="s">
        <v>72</v>
      </c>
      <c r="F12" s="102" t="s">
        <v>73</v>
      </c>
      <c r="G12" s="105" t="s">
        <v>74</v>
      </c>
      <c r="H12" s="105" t="s">
        <v>75</v>
      </c>
      <c r="I12" s="105" t="s">
        <v>76</v>
      </c>
      <c r="J12" s="105" t="s">
        <v>77</v>
      </c>
      <c r="K12" s="107" t="s">
        <v>78</v>
      </c>
      <c r="L12" s="108" t="s">
        <v>79</v>
      </c>
      <c r="M12" s="105" t="s">
        <v>80</v>
      </c>
      <c r="N12" s="72"/>
      <c r="S12" s="82"/>
      <c r="T12" s="96"/>
      <c r="U12" s="111"/>
      <c r="V12" s="49"/>
      <c r="W12" s="50"/>
      <c r="X12" s="84"/>
    </row>
    <row r="13">
      <c r="A13" s="81"/>
      <c r="B13" s="113">
        <v>46213.0</v>
      </c>
      <c r="C13" s="115" t="s">
        <v>82</v>
      </c>
      <c r="D13" s="117" t="s">
        <v>83</v>
      </c>
      <c r="E13" s="119" t="s">
        <v>85</v>
      </c>
      <c r="F13" s="121"/>
      <c r="G13" s="122" t="s">
        <v>86</v>
      </c>
      <c r="H13" s="123">
        <v>5428247.0</v>
      </c>
      <c r="I13" s="123">
        <v>2800000.0</v>
      </c>
      <c r="J13" s="125"/>
      <c r="K13" s="127">
        <f t="shared" ref="K13:K15" si="1">L13-I13</f>
        <v>999772.9</v>
      </c>
      <c r="L13" s="130">
        <f t="shared" ref="L13:L26" si="2">H13*70%</f>
        <v>3799772.9</v>
      </c>
      <c r="M13" s="130">
        <f t="shared" ref="M13:M26" si="3">H13-I13</f>
        <v>2628247</v>
      </c>
      <c r="N13" s="72"/>
      <c r="S13" s="82"/>
      <c r="T13" s="132"/>
      <c r="U13" s="111"/>
      <c r="V13" s="91"/>
      <c r="W13" s="50"/>
      <c r="X13" s="70"/>
    </row>
    <row r="14">
      <c r="A14" s="81"/>
      <c r="B14" s="113">
        <v>46216.0</v>
      </c>
      <c r="C14" s="134" t="s">
        <v>91</v>
      </c>
      <c r="D14" s="135" t="s">
        <v>92</v>
      </c>
      <c r="E14" s="134" t="s">
        <v>93</v>
      </c>
      <c r="F14" s="121"/>
      <c r="G14" s="137" t="s">
        <v>94</v>
      </c>
      <c r="H14" s="138">
        <v>5206949.0</v>
      </c>
      <c r="I14" s="138">
        <v>3644864.0</v>
      </c>
      <c r="J14" s="125"/>
      <c r="K14" s="127">
        <f t="shared" si="1"/>
        <v>0.2999999998</v>
      </c>
      <c r="L14" s="130">
        <f t="shared" si="2"/>
        <v>3644864.3</v>
      </c>
      <c r="M14" s="130">
        <f t="shared" si="3"/>
        <v>1562085</v>
      </c>
      <c r="S14" s="82"/>
      <c r="T14" s="96"/>
      <c r="U14" s="47"/>
      <c r="V14" s="91"/>
      <c r="W14" s="50"/>
      <c r="X14" s="70"/>
    </row>
    <row r="15">
      <c r="A15" s="81"/>
      <c r="B15" s="125">
        <v>46222.0</v>
      </c>
      <c r="C15" s="134" t="s">
        <v>95</v>
      </c>
      <c r="D15" s="135" t="s">
        <v>96</v>
      </c>
      <c r="E15" s="134" t="s">
        <v>97</v>
      </c>
      <c r="F15" s="142"/>
      <c r="G15" s="143" t="s">
        <v>99</v>
      </c>
      <c r="H15" s="138">
        <v>3653877.0</v>
      </c>
      <c r="I15" s="138">
        <v>1654000.0</v>
      </c>
      <c r="J15" s="125"/>
      <c r="K15" s="127">
        <f t="shared" si="1"/>
        <v>903713.9</v>
      </c>
      <c r="L15" s="130">
        <f t="shared" si="2"/>
        <v>2557713.9</v>
      </c>
      <c r="M15" s="130">
        <f t="shared" si="3"/>
        <v>1999877</v>
      </c>
      <c r="S15" s="82"/>
      <c r="T15" s="96"/>
      <c r="U15" s="47"/>
      <c r="V15" s="49"/>
      <c r="W15" s="50"/>
      <c r="X15" s="70"/>
    </row>
    <row r="16">
      <c r="A16" s="81"/>
      <c r="B16" s="146">
        <v>46233.0</v>
      </c>
      <c r="C16" s="134" t="s">
        <v>102</v>
      </c>
      <c r="D16" s="142" t="s">
        <v>103</v>
      </c>
      <c r="E16" s="134" t="s">
        <v>104</v>
      </c>
      <c r="F16" s="147"/>
      <c r="G16" s="148" t="s">
        <v>105</v>
      </c>
      <c r="H16" s="138">
        <v>264600.0</v>
      </c>
      <c r="I16" s="138">
        <v>264600.0</v>
      </c>
      <c r="J16" s="149"/>
      <c r="K16" s="151">
        <f>MAX(0, L16 - I16)</f>
        <v>0</v>
      </c>
      <c r="L16" s="130">
        <f t="shared" si="2"/>
        <v>185220</v>
      </c>
      <c r="M16" s="130">
        <f t="shared" si="3"/>
        <v>0</v>
      </c>
      <c r="S16" s="82"/>
      <c r="T16" s="96"/>
      <c r="U16" s="129"/>
      <c r="V16" s="91"/>
      <c r="W16" s="50"/>
      <c r="X16" s="70"/>
    </row>
    <row r="17">
      <c r="A17" s="81"/>
      <c r="B17" s="146">
        <v>46234.0</v>
      </c>
      <c r="C17" s="134" t="s">
        <v>108</v>
      </c>
      <c r="D17" s="142" t="s">
        <v>109</v>
      </c>
      <c r="E17" s="134" t="s">
        <v>110</v>
      </c>
      <c r="F17" s="147"/>
      <c r="G17" s="137" t="s">
        <v>111</v>
      </c>
      <c r="H17" s="138">
        <v>1.136427E7</v>
      </c>
      <c r="I17" s="138">
        <v>5682135.0</v>
      </c>
      <c r="J17" s="154"/>
      <c r="K17" s="127">
        <f t="shared" ref="K17:K26" si="4">L17-I17</f>
        <v>2272854</v>
      </c>
      <c r="L17" s="130">
        <f t="shared" si="2"/>
        <v>7954989</v>
      </c>
      <c r="M17" s="130">
        <f t="shared" si="3"/>
        <v>5682135</v>
      </c>
      <c r="S17" s="141"/>
      <c r="T17" s="96"/>
      <c r="U17" s="47"/>
      <c r="V17" s="49"/>
      <c r="W17" s="50"/>
      <c r="X17" s="70"/>
    </row>
    <row r="18">
      <c r="A18" s="81"/>
      <c r="B18" s="146">
        <v>46234.0</v>
      </c>
      <c r="C18" s="134" t="s">
        <v>114</v>
      </c>
      <c r="D18" s="142" t="s">
        <v>115</v>
      </c>
      <c r="E18" s="134" t="s">
        <v>116</v>
      </c>
      <c r="F18" s="147"/>
      <c r="G18" s="137" t="s">
        <v>117</v>
      </c>
      <c r="H18" s="138">
        <v>4412669.0</v>
      </c>
      <c r="I18" s="138">
        <v>100000.0</v>
      </c>
      <c r="J18" s="156"/>
      <c r="K18" s="127">
        <f t="shared" si="4"/>
        <v>2988868.3</v>
      </c>
      <c r="L18" s="130">
        <f t="shared" si="2"/>
        <v>3088868.3</v>
      </c>
      <c r="M18" s="130">
        <f t="shared" si="3"/>
        <v>4312669</v>
      </c>
      <c r="S18" s="82"/>
      <c r="T18" s="96"/>
      <c r="U18" s="47"/>
      <c r="V18" s="91"/>
      <c r="W18" s="50"/>
      <c r="X18" s="70"/>
    </row>
    <row r="19">
      <c r="A19" s="81"/>
      <c r="B19" s="146">
        <v>46235.0</v>
      </c>
      <c r="C19" s="134" t="s">
        <v>118</v>
      </c>
      <c r="D19" s="142" t="s">
        <v>119</v>
      </c>
      <c r="E19" s="134" t="s">
        <v>120</v>
      </c>
      <c r="F19" s="147"/>
      <c r="G19" s="137" t="s">
        <v>121</v>
      </c>
      <c r="H19" s="138">
        <v>1000000.0</v>
      </c>
      <c r="I19" s="138">
        <v>500000.0</v>
      </c>
      <c r="J19" s="149"/>
      <c r="K19" s="127">
        <f t="shared" si="4"/>
        <v>200000</v>
      </c>
      <c r="L19" s="130">
        <f t="shared" si="2"/>
        <v>700000</v>
      </c>
      <c r="M19" s="130">
        <f t="shared" si="3"/>
        <v>500000</v>
      </c>
      <c r="S19" s="82"/>
      <c r="T19" s="96"/>
      <c r="U19" s="47"/>
      <c r="V19" s="91"/>
      <c r="W19" s="50"/>
      <c r="X19" s="70"/>
    </row>
    <row r="20">
      <c r="A20" s="81"/>
      <c r="B20" s="160"/>
      <c r="C20" s="161"/>
      <c r="D20" s="149"/>
      <c r="E20" s="161"/>
      <c r="F20" s="147"/>
      <c r="G20" s="163"/>
      <c r="H20" s="164"/>
      <c r="I20" s="164"/>
      <c r="J20" s="149"/>
      <c r="K20" s="127">
        <f t="shared" si="4"/>
        <v>0</v>
      </c>
      <c r="L20" s="130">
        <f t="shared" si="2"/>
        <v>0</v>
      </c>
      <c r="M20" s="130">
        <f t="shared" si="3"/>
        <v>0</v>
      </c>
      <c r="S20" s="82"/>
      <c r="T20" s="96"/>
      <c r="U20" s="129"/>
      <c r="V20" s="49"/>
      <c r="W20" s="50"/>
      <c r="X20" s="70"/>
    </row>
    <row r="21">
      <c r="A21" s="81"/>
      <c r="B21" s="160"/>
      <c r="C21" s="161"/>
      <c r="D21" s="149"/>
      <c r="E21" s="161"/>
      <c r="F21" s="147"/>
      <c r="G21" s="163"/>
      <c r="H21" s="164"/>
      <c r="I21" s="164"/>
      <c r="J21" s="156"/>
      <c r="K21" s="127">
        <f t="shared" si="4"/>
        <v>0</v>
      </c>
      <c r="L21" s="130">
        <f t="shared" si="2"/>
        <v>0</v>
      </c>
      <c r="M21" s="130">
        <f t="shared" si="3"/>
        <v>0</v>
      </c>
      <c r="S21" s="141"/>
      <c r="T21" s="96"/>
      <c r="U21" s="47"/>
      <c r="V21" s="49"/>
      <c r="W21" s="50"/>
      <c r="X21" s="70"/>
    </row>
    <row r="22">
      <c r="A22" s="81"/>
      <c r="B22" s="160"/>
      <c r="C22" s="161"/>
      <c r="D22" s="167"/>
      <c r="E22" s="161"/>
      <c r="F22" s="147"/>
      <c r="G22" s="163"/>
      <c r="H22" s="164"/>
      <c r="I22" s="164"/>
      <c r="J22" s="167"/>
      <c r="K22" s="127">
        <f t="shared" si="4"/>
        <v>0</v>
      </c>
      <c r="L22" s="130">
        <f t="shared" si="2"/>
        <v>0</v>
      </c>
      <c r="M22" s="130">
        <f t="shared" si="3"/>
        <v>0</v>
      </c>
      <c r="S22" s="82"/>
      <c r="T22" s="96"/>
      <c r="U22" s="47"/>
      <c r="V22" s="49"/>
      <c r="W22" s="50"/>
      <c r="X22" s="70"/>
    </row>
    <row r="23">
      <c r="A23" s="81"/>
      <c r="B23" s="160"/>
      <c r="C23" s="161"/>
      <c r="D23" s="156"/>
      <c r="E23" s="161"/>
      <c r="F23" s="147"/>
      <c r="G23" s="163"/>
      <c r="H23" s="164"/>
      <c r="I23" s="164"/>
      <c r="J23" s="156"/>
      <c r="K23" s="127">
        <f t="shared" si="4"/>
        <v>0</v>
      </c>
      <c r="L23" s="130">
        <f t="shared" si="2"/>
        <v>0</v>
      </c>
      <c r="M23" s="130">
        <f t="shared" si="3"/>
        <v>0</v>
      </c>
      <c r="S23" s="82"/>
      <c r="T23" s="96"/>
      <c r="U23" s="47"/>
      <c r="V23" s="49"/>
      <c r="W23" s="50"/>
      <c r="X23" s="70"/>
    </row>
    <row r="24">
      <c r="A24" s="81"/>
      <c r="B24" s="160"/>
      <c r="C24" s="161"/>
      <c r="D24" s="149"/>
      <c r="E24" s="161"/>
      <c r="F24" s="147"/>
      <c r="G24" s="163"/>
      <c r="H24" s="164"/>
      <c r="I24" s="164"/>
      <c r="J24" s="156"/>
      <c r="K24" s="127">
        <f t="shared" si="4"/>
        <v>0</v>
      </c>
      <c r="L24" s="130">
        <f t="shared" si="2"/>
        <v>0</v>
      </c>
      <c r="M24" s="130">
        <f t="shared" si="3"/>
        <v>0</v>
      </c>
      <c r="S24" s="82"/>
      <c r="T24" s="96"/>
      <c r="U24" s="47"/>
      <c r="V24" s="49"/>
      <c r="W24" s="50"/>
      <c r="X24" s="70"/>
    </row>
    <row r="25">
      <c r="A25" s="81"/>
      <c r="B25" s="160"/>
      <c r="C25" s="161"/>
      <c r="D25" s="149"/>
      <c r="E25" s="161"/>
      <c r="F25" s="147"/>
      <c r="G25" s="163"/>
      <c r="H25" s="164"/>
      <c r="I25" s="164"/>
      <c r="J25" s="156"/>
      <c r="K25" s="127">
        <f t="shared" si="4"/>
        <v>0</v>
      </c>
      <c r="L25" s="130">
        <f t="shared" si="2"/>
        <v>0</v>
      </c>
      <c r="M25" s="130">
        <f t="shared" si="3"/>
        <v>0</v>
      </c>
      <c r="S25" s="171"/>
      <c r="T25" s="172"/>
      <c r="U25" s="47"/>
      <c r="V25" s="49"/>
      <c r="W25" s="50"/>
      <c r="X25" s="70"/>
    </row>
    <row r="26">
      <c r="A26" s="81"/>
      <c r="B26" s="160"/>
      <c r="C26" s="161"/>
      <c r="D26" s="149"/>
      <c r="E26" s="161"/>
      <c r="F26" s="147"/>
      <c r="G26" s="163"/>
      <c r="H26" s="164"/>
      <c r="I26" s="164"/>
      <c r="J26" s="149"/>
      <c r="K26" s="127">
        <f t="shared" si="4"/>
        <v>0</v>
      </c>
      <c r="L26" s="130">
        <f t="shared" si="2"/>
        <v>0</v>
      </c>
      <c r="M26" s="130">
        <f t="shared" si="3"/>
        <v>0</v>
      </c>
      <c r="S26" s="141">
        <f t="shared" ref="S26:V26" si="5">SUM(S12:S25)</f>
        <v>0</v>
      </c>
      <c r="T26" s="132">
        <f t="shared" si="5"/>
        <v>0</v>
      </c>
      <c r="U26" s="129">
        <f t="shared" si="5"/>
        <v>0</v>
      </c>
      <c r="V26" s="91">
        <f t="shared" si="5"/>
        <v>0</v>
      </c>
      <c r="W26" s="176">
        <f t="shared" ref="W26:X26" si="6">SUM(W11:W25)</f>
        <v>0</v>
      </c>
      <c r="X26" s="84">
        <f t="shared" si="6"/>
        <v>0</v>
      </c>
    </row>
    <row r="27">
      <c r="A27" s="81"/>
      <c r="B27" s="81"/>
      <c r="C27" s="177"/>
      <c r="D27" s="81"/>
      <c r="E27" s="81"/>
      <c r="F27" s="81"/>
      <c r="G27" s="178" t="s">
        <v>130</v>
      </c>
      <c r="H27" s="179">
        <f t="shared" ref="H27:I27" si="7">SUM(H13:H26)</f>
        <v>31330612</v>
      </c>
      <c r="I27" s="179">
        <f t="shared" si="7"/>
        <v>14645599</v>
      </c>
      <c r="J27" s="81"/>
      <c r="K27" s="180">
        <f t="shared" ref="K27:L27" si="8">SUM(L13:L26)</f>
        <v>21931428.4</v>
      </c>
      <c r="L27" s="180">
        <f t="shared" si="8"/>
        <v>16685013</v>
      </c>
      <c r="M27" s="120"/>
      <c r="T27" s="109"/>
      <c r="U27" s="72"/>
      <c r="V27" s="72"/>
    </row>
    <row r="28">
      <c r="A28" s="81"/>
      <c r="B28" s="81"/>
      <c r="C28" s="177"/>
      <c r="D28" s="177"/>
      <c r="E28" s="177"/>
      <c r="F28" s="177"/>
      <c r="G28" s="177"/>
      <c r="H28" s="177"/>
      <c r="I28" s="177"/>
      <c r="J28" s="177"/>
      <c r="K28" s="181"/>
      <c r="L28" s="181"/>
      <c r="M28" s="120"/>
      <c r="T28" s="109"/>
      <c r="U28" s="72"/>
      <c r="V28" s="72"/>
    </row>
    <row r="29">
      <c r="C29" s="1"/>
      <c r="M29" s="120"/>
      <c r="T29" s="109"/>
      <c r="U29" s="72"/>
      <c r="V29" s="72"/>
    </row>
    <row r="30">
      <c r="C30" s="1"/>
      <c r="M30" s="120"/>
      <c r="T30" s="109"/>
      <c r="U30" s="72"/>
      <c r="V30" s="72"/>
    </row>
    <row r="31">
      <c r="C31" s="1"/>
      <c r="M31" s="120"/>
      <c r="N31" s="100"/>
      <c r="O31" s="71"/>
      <c r="P31" s="72"/>
      <c r="Q31" s="72"/>
      <c r="R31" s="72"/>
      <c r="S31" s="109"/>
      <c r="T31" s="109"/>
      <c r="U31" s="72"/>
      <c r="V31" s="72"/>
    </row>
    <row r="32">
      <c r="B32" s="182" t="s">
        <v>132</v>
      </c>
      <c r="C32" s="7"/>
      <c r="D32" s="7"/>
      <c r="E32" s="7"/>
      <c r="F32" s="7"/>
      <c r="G32" s="7"/>
      <c r="H32" s="7"/>
      <c r="I32" s="7"/>
      <c r="J32" s="7"/>
      <c r="K32" s="7"/>
      <c r="L32" s="9"/>
      <c r="M32" s="120"/>
      <c r="N32" s="100"/>
      <c r="O32" s="71"/>
      <c r="P32" s="72"/>
      <c r="Q32" s="72"/>
      <c r="R32" s="72"/>
      <c r="S32" s="109"/>
      <c r="T32" s="109"/>
      <c r="U32" s="72"/>
      <c r="V32" s="72"/>
    </row>
    <row r="33">
      <c r="B33" s="183"/>
      <c r="C33" s="183"/>
      <c r="D33" s="184" t="s">
        <v>67</v>
      </c>
      <c r="E33" s="7"/>
      <c r="F33" s="7"/>
      <c r="G33" s="7"/>
      <c r="H33" s="7"/>
      <c r="I33" s="7"/>
      <c r="J33" s="7"/>
      <c r="K33" s="7"/>
      <c r="L33" s="9"/>
      <c r="M33" s="120"/>
      <c r="N33" s="185"/>
      <c r="O33" s="81"/>
      <c r="P33" s="109"/>
      <c r="Q33" s="109"/>
      <c r="R33" s="109"/>
      <c r="S33" s="109"/>
      <c r="T33" s="109"/>
      <c r="U33" s="72"/>
      <c r="V33" s="72"/>
    </row>
    <row r="34">
      <c r="B34" s="187" t="s">
        <v>69</v>
      </c>
      <c r="C34" s="188" t="s">
        <v>70</v>
      </c>
      <c r="D34" s="189" t="s">
        <v>71</v>
      </c>
      <c r="E34" s="190" t="s">
        <v>72</v>
      </c>
      <c r="F34" s="191" t="s">
        <v>73</v>
      </c>
      <c r="G34" s="192" t="s">
        <v>74</v>
      </c>
      <c r="H34" s="192" t="s">
        <v>75</v>
      </c>
      <c r="I34" s="192" t="s">
        <v>76</v>
      </c>
      <c r="J34" s="192" t="s">
        <v>77</v>
      </c>
      <c r="K34" s="193" t="s">
        <v>79</v>
      </c>
      <c r="L34" s="194" t="s">
        <v>80</v>
      </c>
      <c r="M34" s="120"/>
      <c r="N34" s="185"/>
      <c r="O34" s="81"/>
      <c r="P34" s="109"/>
      <c r="Q34" s="109"/>
      <c r="R34" s="109"/>
      <c r="S34" s="109"/>
      <c r="T34" s="109"/>
      <c r="U34" s="72"/>
      <c r="V34" s="72"/>
    </row>
    <row r="35">
      <c r="B35" s="195"/>
      <c r="C35" s="197"/>
      <c r="D35" s="198"/>
      <c r="E35" s="199"/>
      <c r="F35" s="200"/>
      <c r="G35" s="201"/>
      <c r="H35" s="201"/>
      <c r="I35" s="202"/>
      <c r="J35" s="203"/>
      <c r="K35" s="204">
        <f t="shared" ref="K35:K48" si="9">H35*70%</f>
        <v>0</v>
      </c>
      <c r="L35" s="206">
        <f t="shared" ref="L35:L48" si="10">H35-I35</f>
        <v>0</v>
      </c>
      <c r="M35" s="120"/>
      <c r="N35" s="185"/>
      <c r="O35" s="81"/>
      <c r="P35" s="81"/>
      <c r="Q35" s="81"/>
      <c r="R35" s="81"/>
      <c r="S35" s="81"/>
      <c r="T35" s="81"/>
    </row>
    <row r="36">
      <c r="B36" s="203"/>
      <c r="C36" s="200"/>
      <c r="D36" s="209"/>
      <c r="E36" s="200"/>
      <c r="F36" s="200"/>
      <c r="G36" s="210"/>
      <c r="H36" s="210"/>
      <c r="I36" s="211"/>
      <c r="J36" s="203"/>
      <c r="K36" s="204">
        <f t="shared" si="9"/>
        <v>0</v>
      </c>
      <c r="L36" s="206">
        <f t="shared" si="10"/>
        <v>0</v>
      </c>
      <c r="M36" s="120"/>
      <c r="N36" s="185"/>
      <c r="O36" s="81"/>
      <c r="P36" s="81"/>
      <c r="Q36" s="81"/>
      <c r="R36" s="81"/>
      <c r="S36" s="81"/>
      <c r="T36" s="81"/>
    </row>
    <row r="37">
      <c r="B37" s="212"/>
      <c r="C37" s="183"/>
      <c r="D37" s="213"/>
      <c r="E37" s="183"/>
      <c r="F37" s="214"/>
      <c r="G37" s="215"/>
      <c r="H37" s="217"/>
      <c r="I37" s="218"/>
      <c r="J37" s="217"/>
      <c r="K37" s="204">
        <f t="shared" si="9"/>
        <v>0</v>
      </c>
      <c r="L37" s="206">
        <f t="shared" si="10"/>
        <v>0</v>
      </c>
      <c r="M37" s="120"/>
      <c r="N37" s="185"/>
      <c r="O37" s="81"/>
      <c r="P37" s="81"/>
      <c r="Q37" s="81"/>
      <c r="R37" s="81"/>
      <c r="S37" s="81"/>
      <c r="T37" s="81"/>
    </row>
    <row r="38">
      <c r="B38" s="212"/>
      <c r="C38" s="183"/>
      <c r="D38" s="213"/>
      <c r="E38" s="183"/>
      <c r="F38" s="183"/>
      <c r="G38" s="217"/>
      <c r="H38" s="217"/>
      <c r="I38" s="218"/>
      <c r="J38" s="213"/>
      <c r="K38" s="204">
        <f t="shared" si="9"/>
        <v>0</v>
      </c>
      <c r="L38" s="206">
        <f t="shared" si="10"/>
        <v>0</v>
      </c>
      <c r="M38" s="120"/>
      <c r="N38" s="185"/>
      <c r="O38" s="81"/>
      <c r="P38" s="81"/>
      <c r="Q38" s="81"/>
      <c r="R38" s="81"/>
      <c r="S38" s="81"/>
      <c r="T38" s="81"/>
    </row>
    <row r="39">
      <c r="B39" s="212"/>
      <c r="C39" s="183"/>
      <c r="D39" s="213"/>
      <c r="E39" s="183"/>
      <c r="F39" s="183"/>
      <c r="G39" s="217"/>
      <c r="H39" s="217"/>
      <c r="I39" s="218"/>
      <c r="J39" s="217"/>
      <c r="K39" s="204">
        <f t="shared" si="9"/>
        <v>0</v>
      </c>
      <c r="L39" s="206">
        <f t="shared" si="10"/>
        <v>0</v>
      </c>
      <c r="M39" s="120"/>
      <c r="N39" s="185"/>
      <c r="O39" s="81"/>
      <c r="P39" s="81"/>
      <c r="Q39" s="81"/>
      <c r="R39" s="81"/>
      <c r="S39" s="81"/>
      <c r="T39" s="81"/>
    </row>
    <row r="40">
      <c r="B40" s="212"/>
      <c r="C40" s="183"/>
      <c r="D40" s="213"/>
      <c r="E40" s="183"/>
      <c r="F40" s="183"/>
      <c r="G40" s="217"/>
      <c r="H40" s="217"/>
      <c r="I40" s="218"/>
      <c r="J40" s="222"/>
      <c r="K40" s="204">
        <f t="shared" si="9"/>
        <v>0</v>
      </c>
      <c r="L40" s="206">
        <f t="shared" si="10"/>
        <v>0</v>
      </c>
    </row>
    <row r="41">
      <c r="B41" s="212"/>
      <c r="C41" s="183"/>
      <c r="D41" s="213"/>
      <c r="E41" s="183"/>
      <c r="F41" s="183"/>
      <c r="G41" s="217"/>
      <c r="H41" s="217"/>
      <c r="I41" s="218"/>
      <c r="J41" s="213"/>
      <c r="K41" s="204">
        <f t="shared" si="9"/>
        <v>0</v>
      </c>
      <c r="L41" s="206">
        <f t="shared" si="10"/>
        <v>0</v>
      </c>
    </row>
    <row r="42">
      <c r="B42" s="212"/>
      <c r="C42" s="183"/>
      <c r="D42" s="213"/>
      <c r="E42" s="183"/>
      <c r="F42" s="183"/>
      <c r="G42" s="217"/>
      <c r="H42" s="217"/>
      <c r="I42" s="218"/>
      <c r="J42" s="213"/>
      <c r="K42" s="204">
        <f t="shared" si="9"/>
        <v>0</v>
      </c>
      <c r="L42" s="206">
        <f t="shared" si="10"/>
        <v>0</v>
      </c>
    </row>
    <row r="43">
      <c r="B43" s="212"/>
      <c r="C43" s="183"/>
      <c r="D43" s="213"/>
      <c r="E43" s="183"/>
      <c r="F43" s="183"/>
      <c r="G43" s="217"/>
      <c r="H43" s="217"/>
      <c r="I43" s="218"/>
      <c r="J43" s="222"/>
      <c r="K43" s="204">
        <f t="shared" si="9"/>
        <v>0</v>
      </c>
      <c r="L43" s="206">
        <f t="shared" si="10"/>
        <v>0</v>
      </c>
    </row>
    <row r="44">
      <c r="B44" s="212"/>
      <c r="C44" s="183"/>
      <c r="D44" s="226"/>
      <c r="E44" s="183"/>
      <c r="F44" s="183"/>
      <c r="G44" s="217"/>
      <c r="H44" s="217"/>
      <c r="I44" s="218"/>
      <c r="J44" s="226"/>
      <c r="K44" s="204">
        <f t="shared" si="9"/>
        <v>0</v>
      </c>
      <c r="L44" s="206">
        <f t="shared" si="10"/>
        <v>0</v>
      </c>
    </row>
    <row r="45">
      <c r="B45" s="212"/>
      <c r="C45" s="183"/>
      <c r="D45" s="222"/>
      <c r="E45" s="183"/>
      <c r="F45" s="183"/>
      <c r="G45" s="217"/>
      <c r="H45" s="217"/>
      <c r="I45" s="218"/>
      <c r="J45" s="222"/>
      <c r="K45" s="204">
        <f t="shared" si="9"/>
        <v>0</v>
      </c>
      <c r="L45" s="206">
        <f t="shared" si="10"/>
        <v>0</v>
      </c>
    </row>
    <row r="46">
      <c r="B46" s="212"/>
      <c r="C46" s="183"/>
      <c r="D46" s="213"/>
      <c r="E46" s="183"/>
      <c r="F46" s="183"/>
      <c r="G46" s="217"/>
      <c r="H46" s="217"/>
      <c r="I46" s="218"/>
      <c r="J46" s="222"/>
      <c r="K46" s="204">
        <f t="shared" si="9"/>
        <v>0</v>
      </c>
      <c r="L46" s="206">
        <f t="shared" si="10"/>
        <v>0</v>
      </c>
    </row>
    <row r="47">
      <c r="B47" s="212"/>
      <c r="C47" s="183"/>
      <c r="D47" s="213"/>
      <c r="E47" s="183"/>
      <c r="F47" s="183"/>
      <c r="G47" s="217"/>
      <c r="H47" s="217"/>
      <c r="I47" s="218"/>
      <c r="J47" s="222"/>
      <c r="K47" s="204">
        <f t="shared" si="9"/>
        <v>0</v>
      </c>
      <c r="L47" s="206">
        <f t="shared" si="10"/>
        <v>0</v>
      </c>
    </row>
    <row r="48">
      <c r="B48" s="212"/>
      <c r="C48" s="183"/>
      <c r="D48" s="213"/>
      <c r="E48" s="183"/>
      <c r="F48" s="183"/>
      <c r="G48" s="217"/>
      <c r="H48" s="217"/>
      <c r="I48" s="218"/>
      <c r="J48" s="213"/>
      <c r="K48" s="204">
        <f t="shared" si="9"/>
        <v>0</v>
      </c>
      <c r="L48" s="206">
        <f t="shared" si="10"/>
        <v>0</v>
      </c>
    </row>
    <row r="49">
      <c r="B49" s="81"/>
      <c r="C49" s="177"/>
      <c r="D49" s="81"/>
      <c r="E49" s="81"/>
      <c r="F49" s="81"/>
      <c r="G49" s="178" t="s">
        <v>130</v>
      </c>
      <c r="H49" s="232">
        <f t="shared" ref="H49:I49" si="11">SUM(H35:H48)</f>
        <v>0</v>
      </c>
      <c r="I49" s="179">
        <f t="shared" si="11"/>
        <v>0</v>
      </c>
      <c r="J49" s="81"/>
      <c r="K49" s="180">
        <f t="shared" ref="K49:L49" si="12">SUM(K35:K48)</f>
        <v>0</v>
      </c>
      <c r="L49" s="180">
        <f t="shared" si="12"/>
        <v>0</v>
      </c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mergeCells count="31">
    <mergeCell ref="C2:E2"/>
    <mergeCell ref="I2:J2"/>
    <mergeCell ref="K2:L2"/>
    <mergeCell ref="M2:N2"/>
    <mergeCell ref="I3:J3"/>
    <mergeCell ref="K3:L3"/>
    <mergeCell ref="M3:N3"/>
    <mergeCell ref="K5:L5"/>
    <mergeCell ref="M5:N5"/>
    <mergeCell ref="I5:J5"/>
    <mergeCell ref="I6:J6"/>
    <mergeCell ref="K6:L6"/>
    <mergeCell ref="M6:N6"/>
    <mergeCell ref="C3:E3"/>
    <mergeCell ref="C4:E4"/>
    <mergeCell ref="I4:J4"/>
    <mergeCell ref="K4:L4"/>
    <mergeCell ref="M4:N4"/>
    <mergeCell ref="C5:E5"/>
    <mergeCell ref="C6:E6"/>
    <mergeCell ref="B10:M10"/>
    <mergeCell ref="D11:M11"/>
    <mergeCell ref="B32:L32"/>
    <mergeCell ref="D33:L33"/>
    <mergeCell ref="C7:E7"/>
    <mergeCell ref="I7:J7"/>
    <mergeCell ref="K7:L7"/>
    <mergeCell ref="M7:N7"/>
    <mergeCell ref="C8:E8"/>
    <mergeCell ref="M8:N8"/>
    <mergeCell ref="C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16.88"/>
    <col customWidth="1" min="5" max="5" width="19.38"/>
    <col customWidth="1" min="6" max="6" width="16.63"/>
    <col customWidth="1" min="7" max="7" width="25.13"/>
    <col customWidth="1" min="8" max="8" width="20.63"/>
    <col customWidth="1" min="9" max="9" width="21.38"/>
    <col customWidth="1" min="10" max="10" width="20.25"/>
    <col customWidth="1" min="11" max="11" width="19.13"/>
    <col customWidth="1" min="12" max="12" width="14.13"/>
    <col customWidth="1" min="13" max="13" width="20.13"/>
    <col customWidth="1" min="14" max="14" width="19.38"/>
    <col customWidth="1" min="15" max="15" width="15.88"/>
    <col customWidth="1" min="16" max="16" width="18.88"/>
    <col customWidth="1" min="17" max="17" width="15.63"/>
    <col customWidth="1" min="18" max="18" width="17.38"/>
  </cols>
  <sheetData>
    <row r="1">
      <c r="C1" s="1"/>
    </row>
    <row r="2">
      <c r="C2" s="5" t="s">
        <v>0</v>
      </c>
      <c r="D2" s="7"/>
      <c r="E2" s="9"/>
      <c r="F2" s="11"/>
      <c r="G2" s="12">
        <v>4.0E7</v>
      </c>
      <c r="H2" s="14">
        <f>G2/10000000/6</f>
        <v>0.6666666667</v>
      </c>
      <c r="I2" s="16" t="s">
        <v>2</v>
      </c>
      <c r="J2" s="9"/>
      <c r="K2" s="21" t="s">
        <v>6</v>
      </c>
      <c r="L2" s="9"/>
      <c r="M2" s="21" t="s">
        <v>9</v>
      </c>
      <c r="N2" s="9"/>
      <c r="O2" s="22"/>
      <c r="P2" s="9"/>
    </row>
    <row r="3">
      <c r="C3" s="25" t="s">
        <v>10</v>
      </c>
      <c r="D3" s="7"/>
      <c r="E3" s="9"/>
      <c r="F3" s="11"/>
      <c r="G3" s="31">
        <f>G101+I3+K3</f>
        <v>0</v>
      </c>
      <c r="H3" s="14">
        <f>G3*100/G2/100</f>
        <v>0</v>
      </c>
      <c r="I3" s="34">
        <f>H27</f>
        <v>0</v>
      </c>
      <c r="J3" s="9"/>
      <c r="K3" s="34">
        <f>H49</f>
        <v>0</v>
      </c>
      <c r="L3" s="9"/>
      <c r="M3" s="34" t="str">
        <f>J49</f>
        <v/>
      </c>
      <c r="N3" s="9"/>
      <c r="O3" s="39" t="str">
        <f>I45+G14+G21+G24+G27+G46</f>
        <v>#VALUE!</v>
      </c>
      <c r="P3" s="9"/>
    </row>
    <row r="4">
      <c r="C4" s="5" t="s">
        <v>23</v>
      </c>
      <c r="D4" s="7"/>
      <c r="E4" s="9"/>
      <c r="F4" s="11"/>
      <c r="G4" s="43">
        <f>G2-G3</f>
        <v>40000000</v>
      </c>
      <c r="H4" s="46">
        <f>G4*100/G2/100</f>
        <v>1</v>
      </c>
      <c r="I4" s="48">
        <f>20000000-I3</f>
        <v>20000000</v>
      </c>
      <c r="J4" s="9"/>
      <c r="K4" s="53">
        <f>20000000-K3</f>
        <v>20000000</v>
      </c>
      <c r="L4" s="9"/>
      <c r="M4" s="53">
        <f>20000000-M3</f>
        <v>20000000</v>
      </c>
      <c r="N4" s="9"/>
      <c r="O4" s="39" t="str">
        <f>20000000-O3</f>
        <v>#VALUE!</v>
      </c>
      <c r="P4" s="9"/>
      <c r="Q4" s="57"/>
      <c r="R4" s="57"/>
      <c r="S4" s="57"/>
      <c r="T4" s="57"/>
    </row>
    <row r="5">
      <c r="C5" s="25" t="s">
        <v>34</v>
      </c>
      <c r="D5" s="7"/>
      <c r="E5" s="9"/>
      <c r="F5" s="62"/>
      <c r="G5" s="65" t="str">
        <f>A101</f>
        <v/>
      </c>
      <c r="H5" s="66"/>
      <c r="I5" s="68">
        <f>I3*2%</f>
        <v>0</v>
      </c>
      <c r="J5" s="9"/>
      <c r="K5" s="68">
        <f>K3*2%</f>
        <v>0</v>
      </c>
      <c r="L5" s="9"/>
      <c r="M5" s="68">
        <f>M3*2%</f>
        <v>0</v>
      </c>
      <c r="N5" s="9"/>
      <c r="O5" s="39" t="str">
        <f>O3*2%</f>
        <v>#VALUE!</v>
      </c>
      <c r="P5" s="9"/>
      <c r="Q5" s="72"/>
      <c r="R5" s="72"/>
      <c r="S5" s="72"/>
      <c r="T5" s="72"/>
      <c r="U5" s="72"/>
      <c r="V5" s="72"/>
    </row>
    <row r="6">
      <c r="C6" s="25" t="s">
        <v>43</v>
      </c>
      <c r="D6" s="7"/>
      <c r="E6" s="9"/>
      <c r="F6" s="62"/>
      <c r="G6" s="65" t="str">
        <f>G3/G5</f>
        <v>#DIV/0!</v>
      </c>
      <c r="H6" s="66"/>
      <c r="I6" s="73"/>
      <c r="J6" s="9"/>
      <c r="K6" s="73"/>
      <c r="L6" s="9"/>
      <c r="M6" s="73"/>
      <c r="N6" s="9"/>
      <c r="O6" s="75"/>
      <c r="P6" s="9"/>
      <c r="Q6" s="72"/>
      <c r="R6" s="72"/>
      <c r="S6" s="72"/>
      <c r="T6" s="72"/>
      <c r="U6" s="72"/>
      <c r="V6" s="72"/>
    </row>
    <row r="7">
      <c r="C7" s="25" t="s">
        <v>52</v>
      </c>
      <c r="D7" s="7"/>
      <c r="E7" s="9"/>
      <c r="F7" s="11"/>
      <c r="G7" s="11"/>
      <c r="H7" s="66"/>
      <c r="I7" s="68"/>
      <c r="J7" s="9"/>
      <c r="K7" s="68"/>
      <c r="L7" s="9"/>
      <c r="M7" s="68"/>
      <c r="N7" s="9"/>
      <c r="O7" s="39"/>
      <c r="P7" s="9"/>
      <c r="Q7" s="72"/>
      <c r="R7" s="72"/>
      <c r="S7" s="72"/>
      <c r="T7" s="72"/>
      <c r="U7" s="72"/>
      <c r="V7" s="72"/>
    </row>
    <row r="8">
      <c r="A8" s="81"/>
      <c r="B8" s="81"/>
      <c r="C8" s="83" t="s">
        <v>55</v>
      </c>
      <c r="D8" s="7"/>
      <c r="E8" s="9"/>
      <c r="F8" s="11"/>
      <c r="G8" s="11" t="str">
        <f>AP39</f>
        <v/>
      </c>
      <c r="H8" s="87" t="str">
        <f>G8*100/G3/100</f>
        <v>#DIV/0!</v>
      </c>
      <c r="I8" s="88"/>
      <c r="J8" s="88"/>
      <c r="K8" s="88"/>
      <c r="L8" s="88"/>
      <c r="O8" s="75"/>
      <c r="P8" s="9"/>
      <c r="Q8" s="72"/>
      <c r="R8" s="72"/>
      <c r="S8" s="72"/>
      <c r="T8" s="72"/>
      <c r="U8" s="72"/>
      <c r="V8" s="72"/>
    </row>
    <row r="9">
      <c r="A9" s="81"/>
      <c r="B9" s="81"/>
      <c r="C9" s="83" t="s">
        <v>59</v>
      </c>
      <c r="D9" s="7"/>
      <c r="E9" s="9"/>
      <c r="F9" s="11"/>
      <c r="G9" s="92">
        <f>G8/4</f>
        <v>0</v>
      </c>
      <c r="H9" s="87" t="str">
        <f>G9*100/G3/100</f>
        <v>#DIV/0!</v>
      </c>
      <c r="I9" s="88"/>
      <c r="J9" s="88"/>
      <c r="K9" s="88"/>
      <c r="L9" s="88"/>
      <c r="M9" s="88"/>
      <c r="N9" s="88"/>
      <c r="O9" s="72"/>
      <c r="P9" s="72"/>
      <c r="Q9" s="72"/>
      <c r="R9" s="72"/>
      <c r="S9" s="72"/>
      <c r="T9" s="72"/>
      <c r="U9" s="72"/>
      <c r="V9" s="72"/>
    </row>
    <row r="10">
      <c r="A10" s="81"/>
      <c r="B10" s="133" t="s">
        <v>89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9"/>
      <c r="N10" s="72"/>
      <c r="O10" s="82" t="s">
        <v>26</v>
      </c>
      <c r="P10" s="96"/>
      <c r="Q10" s="47" t="s">
        <v>27</v>
      </c>
      <c r="R10" s="49" t="s">
        <v>28</v>
      </c>
      <c r="S10" s="50" t="s">
        <v>29</v>
      </c>
      <c r="T10" s="70" t="s">
        <v>30</v>
      </c>
      <c r="U10" s="72"/>
      <c r="V10" s="72"/>
    </row>
    <row r="11">
      <c r="A11" s="81"/>
      <c r="B11" s="97"/>
      <c r="C11" s="97"/>
      <c r="D11" s="98" t="s">
        <v>67</v>
      </c>
      <c r="E11" s="7"/>
      <c r="F11" s="7"/>
      <c r="G11" s="7"/>
      <c r="H11" s="7"/>
      <c r="I11" s="7"/>
      <c r="J11" s="7"/>
      <c r="K11" s="7"/>
      <c r="L11" s="7"/>
      <c r="M11" s="9"/>
      <c r="N11" s="100"/>
      <c r="O11" s="82" t="s">
        <v>46</v>
      </c>
      <c r="P11" s="96" t="s">
        <v>46</v>
      </c>
      <c r="Q11" s="47" t="s">
        <v>47</v>
      </c>
      <c r="R11" s="49" t="s">
        <v>48</v>
      </c>
      <c r="S11" s="50"/>
      <c r="T11" s="70" t="s">
        <v>46</v>
      </c>
      <c r="U11" s="72"/>
      <c r="V11" s="72"/>
    </row>
    <row r="12">
      <c r="A12" s="81"/>
      <c r="B12" s="101" t="s">
        <v>69</v>
      </c>
      <c r="C12" s="102" t="s">
        <v>70</v>
      </c>
      <c r="D12" s="103" t="s">
        <v>71</v>
      </c>
      <c r="E12" s="104" t="s">
        <v>72</v>
      </c>
      <c r="F12" s="102" t="s">
        <v>73</v>
      </c>
      <c r="G12" s="105" t="s">
        <v>74</v>
      </c>
      <c r="H12" s="105" t="s">
        <v>75</v>
      </c>
      <c r="I12" s="105" t="s">
        <v>76</v>
      </c>
      <c r="J12" s="105" t="s">
        <v>77</v>
      </c>
      <c r="K12" s="107" t="s">
        <v>78</v>
      </c>
      <c r="L12" s="108" t="s">
        <v>79</v>
      </c>
      <c r="M12" s="105" t="s">
        <v>80</v>
      </c>
      <c r="N12" s="72"/>
      <c r="O12" s="82"/>
      <c r="P12" s="96"/>
      <c r="Q12" s="111"/>
      <c r="R12" s="49"/>
      <c r="S12" s="50"/>
      <c r="T12" s="84"/>
      <c r="U12" s="72"/>
      <c r="V12" s="72"/>
    </row>
    <row r="13">
      <c r="A13" s="81"/>
      <c r="B13" s="113"/>
      <c r="C13" s="115"/>
      <c r="D13" s="117"/>
      <c r="E13" s="119"/>
      <c r="F13" s="121"/>
      <c r="G13" s="122"/>
      <c r="H13" s="123"/>
      <c r="I13" s="123"/>
      <c r="J13" s="125"/>
      <c r="K13" s="151"/>
      <c r="L13" s="130">
        <f t="shared" ref="L13:L26" si="1">H13*70%</f>
        <v>0</v>
      </c>
      <c r="M13" s="130">
        <f t="shared" ref="M13:M26" si="2">H13-I13</f>
        <v>0</v>
      </c>
      <c r="N13" s="72"/>
      <c r="O13" s="82"/>
      <c r="P13" s="91"/>
      <c r="Q13" s="111"/>
      <c r="R13" s="91"/>
      <c r="S13" s="50"/>
      <c r="T13" s="70"/>
      <c r="U13" s="72"/>
      <c r="V13" s="72"/>
    </row>
    <row r="14">
      <c r="A14" s="81"/>
      <c r="B14" s="113"/>
      <c r="C14" s="134"/>
      <c r="D14" s="135"/>
      <c r="E14" s="134"/>
      <c r="F14" s="121"/>
      <c r="G14" s="137"/>
      <c r="H14" s="138"/>
      <c r="I14" s="138"/>
      <c r="J14" s="125"/>
      <c r="K14" s="151"/>
      <c r="L14" s="130">
        <f t="shared" si="1"/>
        <v>0</v>
      </c>
      <c r="M14" s="165">
        <f t="shared" si="2"/>
        <v>0</v>
      </c>
      <c r="O14" s="82"/>
      <c r="P14" s="96"/>
      <c r="Q14" s="47"/>
      <c r="R14" s="91"/>
      <c r="S14" s="50"/>
      <c r="T14" s="70"/>
      <c r="U14" s="72"/>
      <c r="V14" s="72"/>
    </row>
    <row r="15">
      <c r="A15" s="81"/>
      <c r="B15" s="125"/>
      <c r="C15" s="134"/>
      <c r="D15" s="135"/>
      <c r="E15" s="134"/>
      <c r="F15" s="142"/>
      <c r="G15" s="143"/>
      <c r="H15" s="138"/>
      <c r="I15" s="138"/>
      <c r="J15" s="125"/>
      <c r="K15" s="151"/>
      <c r="L15" s="130">
        <f t="shared" si="1"/>
        <v>0</v>
      </c>
      <c r="M15" s="130">
        <f t="shared" si="2"/>
        <v>0</v>
      </c>
      <c r="O15" s="82"/>
      <c r="P15" s="96"/>
      <c r="Q15" s="47"/>
      <c r="R15" s="49"/>
      <c r="S15" s="50"/>
      <c r="T15" s="70"/>
      <c r="U15" s="72"/>
      <c r="V15" s="72"/>
    </row>
    <row r="16">
      <c r="A16" s="81"/>
      <c r="B16" s="146"/>
      <c r="C16" s="134"/>
      <c r="D16" s="142"/>
      <c r="E16" s="134"/>
      <c r="F16" s="147"/>
      <c r="G16" s="148"/>
      <c r="H16" s="138"/>
      <c r="I16" s="138"/>
      <c r="J16" s="149"/>
      <c r="K16" s="169"/>
      <c r="L16" s="130">
        <f t="shared" si="1"/>
        <v>0</v>
      </c>
      <c r="M16" s="130">
        <f t="shared" si="2"/>
        <v>0</v>
      </c>
      <c r="O16" s="82"/>
      <c r="P16" s="96"/>
      <c r="Q16" s="129"/>
      <c r="R16" s="91"/>
      <c r="S16" s="50"/>
      <c r="T16" s="70"/>
      <c r="U16" s="72"/>
      <c r="V16" s="72"/>
    </row>
    <row r="17">
      <c r="A17" s="81"/>
      <c r="B17" s="146"/>
      <c r="C17" s="134"/>
      <c r="D17" s="142"/>
      <c r="E17" s="134"/>
      <c r="F17" s="147"/>
      <c r="G17" s="137"/>
      <c r="H17" s="138"/>
      <c r="I17" s="138"/>
      <c r="J17" s="154"/>
      <c r="K17" s="151"/>
      <c r="L17" s="130">
        <f t="shared" si="1"/>
        <v>0</v>
      </c>
      <c r="M17" s="130">
        <f t="shared" si="2"/>
        <v>0</v>
      </c>
      <c r="O17" s="141"/>
      <c r="P17" s="96"/>
      <c r="Q17" s="47"/>
      <c r="R17" s="49"/>
      <c r="S17" s="50"/>
      <c r="T17" s="70"/>
      <c r="U17" s="72"/>
      <c r="V17" s="72"/>
    </row>
    <row r="18">
      <c r="A18" s="81"/>
      <c r="B18" s="146"/>
      <c r="C18" s="134"/>
      <c r="D18" s="142"/>
      <c r="E18" s="134"/>
      <c r="F18" s="147"/>
      <c r="G18" s="137"/>
      <c r="H18" s="138"/>
      <c r="I18" s="138"/>
      <c r="J18" s="156"/>
      <c r="K18" s="151"/>
      <c r="L18" s="130">
        <f t="shared" si="1"/>
        <v>0</v>
      </c>
      <c r="M18" s="130">
        <f t="shared" si="2"/>
        <v>0</v>
      </c>
      <c r="O18" s="82"/>
      <c r="P18" s="96"/>
      <c r="Q18" s="47"/>
      <c r="R18" s="91"/>
      <c r="S18" s="50"/>
      <c r="T18" s="70"/>
      <c r="U18" s="72"/>
      <c r="V18" s="72"/>
    </row>
    <row r="19">
      <c r="A19" s="81"/>
      <c r="B19" s="146"/>
      <c r="C19" s="134"/>
      <c r="D19" s="142"/>
      <c r="E19" s="134"/>
      <c r="F19" s="147"/>
      <c r="G19" s="137"/>
      <c r="H19" s="138"/>
      <c r="I19" s="138"/>
      <c r="J19" s="149"/>
      <c r="K19" s="151"/>
      <c r="L19" s="130">
        <f t="shared" si="1"/>
        <v>0</v>
      </c>
      <c r="M19" s="130">
        <f t="shared" si="2"/>
        <v>0</v>
      </c>
      <c r="O19" s="82"/>
      <c r="P19" s="96"/>
      <c r="Q19" s="47"/>
      <c r="R19" s="91"/>
      <c r="S19" s="50"/>
      <c r="T19" s="70"/>
      <c r="U19" s="72"/>
      <c r="V19" s="72"/>
    </row>
    <row r="20">
      <c r="A20" s="81"/>
      <c r="B20" s="160"/>
      <c r="C20" s="161"/>
      <c r="D20" s="149"/>
      <c r="E20" s="161"/>
      <c r="F20" s="147"/>
      <c r="G20" s="163"/>
      <c r="H20" s="164"/>
      <c r="I20" s="164"/>
      <c r="J20" s="149"/>
      <c r="K20" s="127">
        <f t="shared" ref="K20:K26" si="3">L20-I20</f>
        <v>0</v>
      </c>
      <c r="L20" s="130">
        <f t="shared" si="1"/>
        <v>0</v>
      </c>
      <c r="M20" s="130">
        <f t="shared" si="2"/>
        <v>0</v>
      </c>
      <c r="O20" s="82"/>
      <c r="P20" s="96"/>
      <c r="Q20" s="129"/>
      <c r="R20" s="49"/>
      <c r="S20" s="50"/>
      <c r="T20" s="70"/>
      <c r="U20" s="72"/>
      <c r="V20" s="72"/>
    </row>
    <row r="21">
      <c r="A21" s="81"/>
      <c r="B21" s="160"/>
      <c r="C21" s="161"/>
      <c r="D21" s="149"/>
      <c r="E21" s="161"/>
      <c r="F21" s="147"/>
      <c r="G21" s="163"/>
      <c r="H21" s="164"/>
      <c r="I21" s="164"/>
      <c r="J21" s="156"/>
      <c r="K21" s="127">
        <f t="shared" si="3"/>
        <v>0</v>
      </c>
      <c r="L21" s="130">
        <f t="shared" si="1"/>
        <v>0</v>
      </c>
      <c r="M21" s="130">
        <f t="shared" si="2"/>
        <v>0</v>
      </c>
      <c r="O21" s="141"/>
      <c r="P21" s="96"/>
      <c r="Q21" s="47"/>
      <c r="R21" s="49"/>
      <c r="S21" s="50"/>
      <c r="T21" s="70"/>
      <c r="U21" s="72"/>
      <c r="V21" s="72"/>
    </row>
    <row r="22">
      <c r="A22" s="81"/>
      <c r="B22" s="160"/>
      <c r="C22" s="161"/>
      <c r="D22" s="167"/>
      <c r="E22" s="161"/>
      <c r="F22" s="147"/>
      <c r="G22" s="163"/>
      <c r="H22" s="164"/>
      <c r="I22" s="164"/>
      <c r="J22" s="167"/>
      <c r="K22" s="127">
        <f t="shared" si="3"/>
        <v>0</v>
      </c>
      <c r="L22" s="130">
        <f t="shared" si="1"/>
        <v>0</v>
      </c>
      <c r="M22" s="130">
        <f t="shared" si="2"/>
        <v>0</v>
      </c>
      <c r="O22" s="82"/>
      <c r="P22" s="96"/>
      <c r="Q22" s="47"/>
      <c r="R22" s="49"/>
      <c r="S22" s="50"/>
      <c r="T22" s="70"/>
      <c r="U22" s="72"/>
      <c r="V22" s="72"/>
    </row>
    <row r="23">
      <c r="A23" s="81"/>
      <c r="B23" s="160"/>
      <c r="C23" s="161"/>
      <c r="D23" s="156"/>
      <c r="E23" s="161"/>
      <c r="F23" s="147"/>
      <c r="G23" s="163"/>
      <c r="H23" s="164"/>
      <c r="I23" s="164"/>
      <c r="J23" s="156"/>
      <c r="K23" s="127">
        <f t="shared" si="3"/>
        <v>0</v>
      </c>
      <c r="L23" s="130">
        <f t="shared" si="1"/>
        <v>0</v>
      </c>
      <c r="M23" s="130">
        <f t="shared" si="2"/>
        <v>0</v>
      </c>
      <c r="O23" s="82"/>
      <c r="P23" s="96"/>
      <c r="Q23" s="47"/>
      <c r="R23" s="49"/>
      <c r="S23" s="50"/>
      <c r="T23" s="70"/>
      <c r="U23" s="72"/>
      <c r="V23" s="72"/>
    </row>
    <row r="24">
      <c r="A24" s="81"/>
      <c r="B24" s="160"/>
      <c r="C24" s="161"/>
      <c r="D24" s="149"/>
      <c r="E24" s="161"/>
      <c r="F24" s="147"/>
      <c r="G24" s="163"/>
      <c r="H24" s="164"/>
      <c r="I24" s="164"/>
      <c r="J24" s="156"/>
      <c r="K24" s="127">
        <f t="shared" si="3"/>
        <v>0</v>
      </c>
      <c r="L24" s="130">
        <f t="shared" si="1"/>
        <v>0</v>
      </c>
      <c r="M24" s="130">
        <f t="shared" si="2"/>
        <v>0</v>
      </c>
      <c r="O24" s="82"/>
      <c r="P24" s="96"/>
      <c r="Q24" s="47"/>
      <c r="R24" s="49"/>
      <c r="S24" s="50"/>
      <c r="T24" s="70"/>
      <c r="U24" s="72"/>
      <c r="V24" s="72"/>
    </row>
    <row r="25">
      <c r="A25" s="81"/>
      <c r="B25" s="160"/>
      <c r="C25" s="161"/>
      <c r="D25" s="149"/>
      <c r="E25" s="161"/>
      <c r="F25" s="147"/>
      <c r="G25" s="163"/>
      <c r="H25" s="164"/>
      <c r="I25" s="164"/>
      <c r="J25" s="156"/>
      <c r="K25" s="127">
        <f t="shared" si="3"/>
        <v>0</v>
      </c>
      <c r="L25" s="130">
        <f t="shared" si="1"/>
        <v>0</v>
      </c>
      <c r="M25" s="130">
        <f t="shared" si="2"/>
        <v>0</v>
      </c>
      <c r="O25" s="171"/>
      <c r="P25" s="172"/>
      <c r="Q25" s="47"/>
      <c r="R25" s="49"/>
      <c r="S25" s="50"/>
      <c r="T25" s="70"/>
      <c r="U25" s="72"/>
      <c r="V25" s="72"/>
    </row>
    <row r="26">
      <c r="A26" s="81"/>
      <c r="B26" s="160"/>
      <c r="C26" s="161"/>
      <c r="D26" s="149"/>
      <c r="E26" s="161"/>
      <c r="F26" s="147"/>
      <c r="G26" s="163"/>
      <c r="H26" s="164"/>
      <c r="I26" s="164"/>
      <c r="J26" s="149"/>
      <c r="K26" s="127">
        <f t="shared" si="3"/>
        <v>0</v>
      </c>
      <c r="L26" s="130">
        <f t="shared" si="1"/>
        <v>0</v>
      </c>
      <c r="M26" s="130">
        <f t="shared" si="2"/>
        <v>0</v>
      </c>
      <c r="O26" s="141">
        <f t="shared" ref="O26:R26" si="4">SUM(O12:O25)</f>
        <v>0</v>
      </c>
      <c r="P26" s="132">
        <f t="shared" si="4"/>
        <v>0</v>
      </c>
      <c r="Q26" s="129">
        <f t="shared" si="4"/>
        <v>0</v>
      </c>
      <c r="R26" s="91">
        <f t="shared" si="4"/>
        <v>0</v>
      </c>
      <c r="S26" s="176">
        <f t="shared" ref="S26:T26" si="5">SUM(S11:S25)</f>
        <v>0</v>
      </c>
      <c r="T26" s="84">
        <f t="shared" si="5"/>
        <v>0</v>
      </c>
      <c r="U26" s="72"/>
      <c r="V26" s="72"/>
    </row>
    <row r="27">
      <c r="A27" s="81"/>
      <c r="B27" s="81"/>
      <c r="C27" s="177"/>
      <c r="D27" s="81"/>
      <c r="E27" s="81"/>
      <c r="F27" s="81"/>
      <c r="G27" s="178" t="s">
        <v>130</v>
      </c>
      <c r="H27" s="179">
        <f t="shared" ref="H27:I27" si="6">SUM(H13:H26)</f>
        <v>0</v>
      </c>
      <c r="I27" s="179">
        <f t="shared" si="6"/>
        <v>0</v>
      </c>
      <c r="J27" s="81"/>
      <c r="K27" s="180">
        <f t="shared" ref="K27:L27" si="7">SUM(L13:L26)</f>
        <v>0</v>
      </c>
      <c r="L27" s="180">
        <f t="shared" si="7"/>
        <v>0</v>
      </c>
      <c r="M27" s="120"/>
      <c r="T27" s="109"/>
      <c r="U27" s="72"/>
      <c r="V27" s="72"/>
    </row>
    <row r="28">
      <c r="A28" s="81"/>
      <c r="B28" s="81"/>
      <c r="C28" s="177"/>
      <c r="D28" s="177"/>
      <c r="E28" s="177"/>
      <c r="F28" s="177"/>
      <c r="G28" s="177"/>
      <c r="H28" s="177"/>
      <c r="I28" s="177"/>
      <c r="J28" s="177"/>
      <c r="K28" s="181"/>
      <c r="L28" s="181"/>
      <c r="M28" s="120"/>
      <c r="T28" s="109"/>
      <c r="U28" s="72"/>
      <c r="V28" s="72"/>
    </row>
    <row r="29">
      <c r="C29" s="1"/>
      <c r="M29" s="120"/>
      <c r="T29" s="109"/>
      <c r="U29" s="72"/>
      <c r="V29" s="72"/>
    </row>
    <row r="30">
      <c r="C30" s="1"/>
      <c r="M30" s="120"/>
      <c r="T30" s="109"/>
      <c r="U30" s="72"/>
      <c r="V30" s="72"/>
    </row>
    <row r="31">
      <c r="C31" s="1"/>
      <c r="M31" s="120"/>
      <c r="N31" s="100"/>
      <c r="O31" s="71"/>
      <c r="P31" s="72"/>
      <c r="Q31" s="72"/>
      <c r="R31" s="72"/>
      <c r="S31" s="109"/>
      <c r="T31" s="109"/>
      <c r="U31" s="72"/>
      <c r="V31" s="72"/>
    </row>
    <row r="32">
      <c r="B32" s="182" t="s">
        <v>144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9"/>
      <c r="N32" s="100"/>
      <c r="O32" s="71"/>
      <c r="P32" s="72"/>
      <c r="Q32" s="72"/>
      <c r="R32" s="72"/>
      <c r="S32" s="109"/>
      <c r="T32" s="109"/>
      <c r="U32" s="72"/>
      <c r="V32" s="72"/>
    </row>
    <row r="33">
      <c r="B33" s="183"/>
      <c r="C33" s="183"/>
      <c r="D33" s="184" t="s">
        <v>67</v>
      </c>
      <c r="E33" s="7"/>
      <c r="F33" s="7"/>
      <c r="G33" s="7"/>
      <c r="H33" s="7"/>
      <c r="I33" s="7"/>
      <c r="J33" s="7"/>
      <c r="K33" s="7"/>
      <c r="L33" s="7"/>
      <c r="M33" s="9"/>
      <c r="N33" s="185"/>
      <c r="O33" s="81"/>
      <c r="P33" s="109"/>
      <c r="Q33" s="109"/>
      <c r="R33" s="109"/>
      <c r="S33" s="109"/>
      <c r="T33" s="109"/>
      <c r="U33" s="72"/>
      <c r="V33" s="72"/>
    </row>
    <row r="34">
      <c r="B34" s="187" t="s">
        <v>69</v>
      </c>
      <c r="C34" s="188" t="s">
        <v>70</v>
      </c>
      <c r="D34" s="189" t="s">
        <v>71</v>
      </c>
      <c r="E34" s="190" t="s">
        <v>72</v>
      </c>
      <c r="F34" s="191" t="s">
        <v>73</v>
      </c>
      <c r="G34" s="192" t="s">
        <v>74</v>
      </c>
      <c r="H34" s="192" t="s">
        <v>75</v>
      </c>
      <c r="I34" s="192" t="s">
        <v>76</v>
      </c>
      <c r="J34" s="192" t="s">
        <v>77</v>
      </c>
      <c r="K34" s="236" t="s">
        <v>78</v>
      </c>
      <c r="L34" s="193" t="s">
        <v>79</v>
      </c>
      <c r="M34" s="194" t="s">
        <v>80</v>
      </c>
      <c r="N34" s="185"/>
      <c r="O34" s="81"/>
      <c r="P34" s="109"/>
      <c r="Q34" s="109"/>
      <c r="R34" s="109"/>
      <c r="S34" s="109"/>
      <c r="T34" s="109"/>
      <c r="U34" s="72"/>
      <c r="V34" s="72"/>
    </row>
    <row r="35">
      <c r="B35" s="195"/>
      <c r="C35" s="197"/>
      <c r="D35" s="198"/>
      <c r="E35" s="199"/>
      <c r="F35" s="200"/>
      <c r="G35" s="201"/>
      <c r="H35" s="201"/>
      <c r="I35" s="202"/>
      <c r="J35" s="203"/>
      <c r="K35" s="239"/>
      <c r="L35" s="204">
        <f t="shared" ref="L35:L48" si="8">H35*70%</f>
        <v>0</v>
      </c>
      <c r="M35" s="206">
        <f t="shared" ref="M35:M48" si="9">H35-I35</f>
        <v>0</v>
      </c>
      <c r="N35" s="185"/>
      <c r="O35" s="81"/>
      <c r="P35" s="81"/>
      <c r="Q35" s="81"/>
      <c r="R35" s="81"/>
      <c r="S35" s="81"/>
      <c r="T35" s="81"/>
    </row>
    <row r="36">
      <c r="B36" s="203"/>
      <c r="C36" s="200"/>
      <c r="D36" s="209"/>
      <c r="E36" s="200"/>
      <c r="F36" s="200"/>
      <c r="G36" s="210"/>
      <c r="H36" s="210"/>
      <c r="I36" s="211"/>
      <c r="J36" s="203"/>
      <c r="K36" s="239"/>
      <c r="L36" s="204">
        <f t="shared" si="8"/>
        <v>0</v>
      </c>
      <c r="M36" s="206">
        <f t="shared" si="9"/>
        <v>0</v>
      </c>
      <c r="N36" s="185"/>
      <c r="O36" s="81"/>
      <c r="P36" s="81"/>
      <c r="Q36" s="81"/>
      <c r="R36" s="81"/>
      <c r="S36" s="81"/>
      <c r="T36" s="81"/>
    </row>
    <row r="37">
      <c r="B37" s="212"/>
      <c r="C37" s="183"/>
      <c r="D37" s="213"/>
      <c r="E37" s="183"/>
      <c r="F37" s="214"/>
      <c r="G37" s="215"/>
      <c r="H37" s="217"/>
      <c r="I37" s="218"/>
      <c r="J37" s="217"/>
      <c r="K37" s="239"/>
      <c r="L37" s="204">
        <f t="shared" si="8"/>
        <v>0</v>
      </c>
      <c r="M37" s="206">
        <f t="shared" si="9"/>
        <v>0</v>
      </c>
      <c r="N37" s="185"/>
      <c r="O37" s="81"/>
      <c r="P37" s="81"/>
      <c r="Q37" s="81"/>
      <c r="R37" s="81"/>
      <c r="S37" s="81"/>
      <c r="T37" s="81"/>
    </row>
    <row r="38">
      <c r="B38" s="212"/>
      <c r="C38" s="183"/>
      <c r="D38" s="213"/>
      <c r="E38" s="183"/>
      <c r="F38" s="183"/>
      <c r="G38" s="217"/>
      <c r="H38" s="217"/>
      <c r="I38" s="218"/>
      <c r="J38" s="213"/>
      <c r="K38" s="239"/>
      <c r="L38" s="204">
        <f t="shared" si="8"/>
        <v>0</v>
      </c>
      <c r="M38" s="206">
        <f t="shared" si="9"/>
        <v>0</v>
      </c>
      <c r="N38" s="185"/>
      <c r="O38" s="81"/>
      <c r="P38" s="81"/>
      <c r="Q38" s="81"/>
      <c r="R38" s="81"/>
      <c r="S38" s="81"/>
      <c r="T38" s="81"/>
    </row>
    <row r="39">
      <c r="B39" s="212"/>
      <c r="C39" s="183"/>
      <c r="D39" s="213"/>
      <c r="E39" s="183"/>
      <c r="F39" s="183"/>
      <c r="G39" s="217"/>
      <c r="H39" s="217"/>
      <c r="I39" s="218"/>
      <c r="J39" s="217"/>
      <c r="K39" s="239"/>
      <c r="L39" s="204">
        <f t="shared" si="8"/>
        <v>0</v>
      </c>
      <c r="M39" s="206">
        <f t="shared" si="9"/>
        <v>0</v>
      </c>
      <c r="N39" s="185"/>
      <c r="O39" s="81"/>
      <c r="P39" s="81"/>
      <c r="Q39" s="81"/>
      <c r="R39" s="81"/>
      <c r="S39" s="81"/>
      <c r="T39" s="81"/>
    </row>
    <row r="40">
      <c r="B40" s="212"/>
      <c r="C40" s="183"/>
      <c r="D40" s="213"/>
      <c r="E40" s="183"/>
      <c r="F40" s="183"/>
      <c r="G40" s="217"/>
      <c r="H40" s="217"/>
      <c r="I40" s="218"/>
      <c r="J40" s="222"/>
      <c r="K40" s="239"/>
      <c r="L40" s="204">
        <f t="shared" si="8"/>
        <v>0</v>
      </c>
      <c r="M40" s="206">
        <f t="shared" si="9"/>
        <v>0</v>
      </c>
    </row>
    <row r="41">
      <c r="B41" s="212"/>
      <c r="C41" s="183"/>
      <c r="D41" s="213"/>
      <c r="E41" s="183"/>
      <c r="F41" s="183"/>
      <c r="G41" s="217"/>
      <c r="H41" s="217"/>
      <c r="I41" s="218"/>
      <c r="J41" s="213"/>
      <c r="K41" s="239"/>
      <c r="L41" s="204">
        <f t="shared" si="8"/>
        <v>0</v>
      </c>
      <c r="M41" s="206">
        <f t="shared" si="9"/>
        <v>0</v>
      </c>
    </row>
    <row r="42">
      <c r="B42" s="212"/>
      <c r="C42" s="183"/>
      <c r="D42" s="213"/>
      <c r="E42" s="183"/>
      <c r="F42" s="183"/>
      <c r="G42" s="217"/>
      <c r="H42" s="217"/>
      <c r="I42" s="218"/>
      <c r="J42" s="213"/>
      <c r="K42" s="239"/>
      <c r="L42" s="204">
        <f t="shared" si="8"/>
        <v>0</v>
      </c>
      <c r="M42" s="206">
        <f t="shared" si="9"/>
        <v>0</v>
      </c>
    </row>
    <row r="43">
      <c r="B43" s="212"/>
      <c r="C43" s="183"/>
      <c r="D43" s="213"/>
      <c r="E43" s="183"/>
      <c r="F43" s="183"/>
      <c r="G43" s="217"/>
      <c r="H43" s="217"/>
      <c r="I43" s="218"/>
      <c r="J43" s="222"/>
      <c r="K43" s="239"/>
      <c r="L43" s="204">
        <f t="shared" si="8"/>
        <v>0</v>
      </c>
      <c r="M43" s="206">
        <f t="shared" si="9"/>
        <v>0</v>
      </c>
    </row>
    <row r="44">
      <c r="B44" s="212"/>
      <c r="C44" s="183"/>
      <c r="D44" s="226"/>
      <c r="E44" s="183"/>
      <c r="F44" s="183"/>
      <c r="G44" s="217"/>
      <c r="H44" s="217"/>
      <c r="I44" s="218"/>
      <c r="J44" s="226"/>
      <c r="K44" s="239"/>
      <c r="L44" s="204">
        <f t="shared" si="8"/>
        <v>0</v>
      </c>
      <c r="M44" s="206">
        <f t="shared" si="9"/>
        <v>0</v>
      </c>
    </row>
    <row r="45">
      <c r="B45" s="212"/>
      <c r="C45" s="183"/>
      <c r="D45" s="222"/>
      <c r="E45" s="183"/>
      <c r="F45" s="183"/>
      <c r="G45" s="217"/>
      <c r="H45" s="217"/>
      <c r="I45" s="218"/>
      <c r="J45" s="222"/>
      <c r="K45" s="239"/>
      <c r="L45" s="204">
        <f t="shared" si="8"/>
        <v>0</v>
      </c>
      <c r="M45" s="206">
        <f t="shared" si="9"/>
        <v>0</v>
      </c>
    </row>
    <row r="46">
      <c r="B46" s="212"/>
      <c r="C46" s="183"/>
      <c r="D46" s="213"/>
      <c r="E46" s="183"/>
      <c r="F46" s="183"/>
      <c r="G46" s="217"/>
      <c r="H46" s="217"/>
      <c r="I46" s="218"/>
      <c r="J46" s="222"/>
      <c r="K46" s="239"/>
      <c r="L46" s="204">
        <f t="shared" si="8"/>
        <v>0</v>
      </c>
      <c r="M46" s="206">
        <f t="shared" si="9"/>
        <v>0</v>
      </c>
    </row>
    <row r="47">
      <c r="B47" s="212"/>
      <c r="C47" s="183"/>
      <c r="D47" s="213"/>
      <c r="E47" s="183"/>
      <c r="F47" s="183"/>
      <c r="G47" s="217"/>
      <c r="H47" s="217"/>
      <c r="I47" s="218"/>
      <c r="J47" s="222"/>
      <c r="K47" s="239"/>
      <c r="L47" s="204">
        <f t="shared" si="8"/>
        <v>0</v>
      </c>
      <c r="M47" s="206">
        <f t="shared" si="9"/>
        <v>0</v>
      </c>
    </row>
    <row r="48">
      <c r="B48" s="212"/>
      <c r="C48" s="183"/>
      <c r="D48" s="213"/>
      <c r="E48" s="183"/>
      <c r="F48" s="183"/>
      <c r="G48" s="217"/>
      <c r="H48" s="217"/>
      <c r="I48" s="218"/>
      <c r="J48" s="213"/>
      <c r="K48" s="240"/>
      <c r="L48" s="204">
        <f t="shared" si="8"/>
        <v>0</v>
      </c>
      <c r="M48" s="206">
        <f t="shared" si="9"/>
        <v>0</v>
      </c>
    </row>
    <row r="49">
      <c r="B49" s="81"/>
      <c r="C49" s="177"/>
      <c r="D49" s="81"/>
      <c r="E49" s="81"/>
      <c r="F49" s="81"/>
      <c r="G49" s="178" t="s">
        <v>130</v>
      </c>
      <c r="H49" s="232">
        <f t="shared" ref="H49:I49" si="10">SUM(H35:H48)</f>
        <v>0</v>
      </c>
      <c r="I49" s="179">
        <f t="shared" si="10"/>
        <v>0</v>
      </c>
      <c r="J49" s="81"/>
      <c r="K49" s="180">
        <f t="shared" ref="K49:L49" si="11">SUM(L35:L48)</f>
        <v>0</v>
      </c>
      <c r="L49" s="180">
        <f t="shared" si="11"/>
        <v>0</v>
      </c>
    </row>
    <row r="50">
      <c r="C50" s="1"/>
    </row>
    <row r="54">
      <c r="B54" s="133" t="s">
        <v>147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9"/>
    </row>
    <row r="55">
      <c r="B55" s="97"/>
      <c r="C55" s="97"/>
      <c r="D55" s="98" t="s">
        <v>67</v>
      </c>
      <c r="E55" s="7"/>
      <c r="F55" s="7"/>
      <c r="G55" s="7"/>
      <c r="H55" s="7"/>
      <c r="I55" s="7"/>
      <c r="J55" s="7"/>
      <c r="K55" s="7"/>
      <c r="L55" s="7"/>
      <c r="M55" s="9"/>
    </row>
    <row r="56">
      <c r="B56" s="101" t="s">
        <v>69</v>
      </c>
      <c r="C56" s="102" t="s">
        <v>70</v>
      </c>
      <c r="D56" s="103" t="s">
        <v>71</v>
      </c>
      <c r="E56" s="104" t="s">
        <v>72</v>
      </c>
      <c r="F56" s="102" t="s">
        <v>73</v>
      </c>
      <c r="G56" s="105" t="s">
        <v>74</v>
      </c>
      <c r="H56" s="105" t="s">
        <v>75</v>
      </c>
      <c r="I56" s="105" t="s">
        <v>76</v>
      </c>
      <c r="J56" s="105" t="s">
        <v>77</v>
      </c>
      <c r="K56" s="107" t="s">
        <v>78</v>
      </c>
      <c r="L56" s="108" t="s">
        <v>79</v>
      </c>
      <c r="M56" s="105" t="s">
        <v>80</v>
      </c>
    </row>
    <row r="57">
      <c r="B57" s="113"/>
      <c r="C57" s="115"/>
      <c r="D57" s="117"/>
      <c r="E57" s="119"/>
      <c r="F57" s="121"/>
      <c r="G57" s="122"/>
      <c r="H57" s="123"/>
      <c r="I57" s="123"/>
      <c r="J57" s="125"/>
      <c r="K57" s="151"/>
      <c r="L57" s="130">
        <f t="shared" ref="L57:L70" si="12">H57*70%</f>
        <v>0</v>
      </c>
      <c r="M57" s="130">
        <f t="shared" ref="M57:M70" si="13">H57-I57</f>
        <v>0</v>
      </c>
    </row>
    <row r="58">
      <c r="B58" s="113"/>
      <c r="C58" s="134"/>
      <c r="D58" s="135"/>
      <c r="E58" s="134"/>
      <c r="F58" s="121"/>
      <c r="G58" s="137"/>
      <c r="H58" s="138"/>
      <c r="I58" s="138"/>
      <c r="J58" s="125"/>
      <c r="K58" s="151"/>
      <c r="L58" s="130">
        <f t="shared" si="12"/>
        <v>0</v>
      </c>
      <c r="M58" s="165">
        <f t="shared" si="13"/>
        <v>0</v>
      </c>
    </row>
    <row r="59">
      <c r="B59" s="125"/>
      <c r="C59" s="134"/>
      <c r="D59" s="135"/>
      <c r="E59" s="134"/>
      <c r="F59" s="142"/>
      <c r="G59" s="143"/>
      <c r="H59" s="138"/>
      <c r="I59" s="138"/>
      <c r="J59" s="125"/>
      <c r="K59" s="151"/>
      <c r="L59" s="130">
        <f t="shared" si="12"/>
        <v>0</v>
      </c>
      <c r="M59" s="130">
        <f t="shared" si="13"/>
        <v>0</v>
      </c>
    </row>
    <row r="60">
      <c r="B60" s="146"/>
      <c r="C60" s="134"/>
      <c r="D60" s="142"/>
      <c r="E60" s="134"/>
      <c r="F60" s="147"/>
      <c r="G60" s="148"/>
      <c r="H60" s="138"/>
      <c r="I60" s="138"/>
      <c r="J60" s="149"/>
      <c r="K60" s="169"/>
      <c r="L60" s="130">
        <f t="shared" si="12"/>
        <v>0</v>
      </c>
      <c r="M60" s="130">
        <f t="shared" si="13"/>
        <v>0</v>
      </c>
    </row>
    <row r="61">
      <c r="B61" s="146"/>
      <c r="C61" s="134"/>
      <c r="D61" s="142"/>
      <c r="E61" s="134"/>
      <c r="F61" s="147"/>
      <c r="G61" s="137"/>
      <c r="H61" s="138"/>
      <c r="I61" s="138"/>
      <c r="J61" s="154"/>
      <c r="K61" s="151"/>
      <c r="L61" s="130">
        <f t="shared" si="12"/>
        <v>0</v>
      </c>
      <c r="M61" s="130">
        <f t="shared" si="13"/>
        <v>0</v>
      </c>
    </row>
    <row r="62">
      <c r="B62" s="146"/>
      <c r="C62" s="134"/>
      <c r="D62" s="142"/>
      <c r="E62" s="134"/>
      <c r="F62" s="147"/>
      <c r="G62" s="137"/>
      <c r="H62" s="138"/>
      <c r="I62" s="138"/>
      <c r="J62" s="156"/>
      <c r="K62" s="151"/>
      <c r="L62" s="130">
        <f t="shared" si="12"/>
        <v>0</v>
      </c>
      <c r="M62" s="130">
        <f t="shared" si="13"/>
        <v>0</v>
      </c>
    </row>
    <row r="63">
      <c r="B63" s="146"/>
      <c r="C63" s="134"/>
      <c r="D63" s="142"/>
      <c r="E63" s="134"/>
      <c r="F63" s="147"/>
      <c r="G63" s="137"/>
      <c r="H63" s="138"/>
      <c r="I63" s="138"/>
      <c r="J63" s="149"/>
      <c r="K63" s="151"/>
      <c r="L63" s="130">
        <f t="shared" si="12"/>
        <v>0</v>
      </c>
      <c r="M63" s="130">
        <f t="shared" si="13"/>
        <v>0</v>
      </c>
    </row>
    <row r="64">
      <c r="B64" s="160"/>
      <c r="C64" s="161"/>
      <c r="D64" s="149"/>
      <c r="E64" s="161"/>
      <c r="F64" s="147"/>
      <c r="G64" s="163"/>
      <c r="H64" s="164"/>
      <c r="I64" s="164"/>
      <c r="J64" s="149"/>
      <c r="K64" s="127">
        <f t="shared" ref="K64:K70" si="14">L64-I64</f>
        <v>0</v>
      </c>
      <c r="L64" s="130">
        <f t="shared" si="12"/>
        <v>0</v>
      </c>
      <c r="M64" s="130">
        <f t="shared" si="13"/>
        <v>0</v>
      </c>
    </row>
    <row r="65">
      <c r="B65" s="160"/>
      <c r="C65" s="161"/>
      <c r="D65" s="149"/>
      <c r="E65" s="161"/>
      <c r="F65" s="147"/>
      <c r="G65" s="163"/>
      <c r="H65" s="164"/>
      <c r="I65" s="164"/>
      <c r="J65" s="156"/>
      <c r="K65" s="127">
        <f t="shared" si="14"/>
        <v>0</v>
      </c>
      <c r="L65" s="130">
        <f t="shared" si="12"/>
        <v>0</v>
      </c>
      <c r="M65" s="130">
        <f t="shared" si="13"/>
        <v>0</v>
      </c>
    </row>
    <row r="66">
      <c r="B66" s="160"/>
      <c r="C66" s="161"/>
      <c r="D66" s="167"/>
      <c r="E66" s="161"/>
      <c r="F66" s="147"/>
      <c r="G66" s="163"/>
      <c r="H66" s="164"/>
      <c r="I66" s="164"/>
      <c r="J66" s="167"/>
      <c r="K66" s="127">
        <f t="shared" si="14"/>
        <v>0</v>
      </c>
      <c r="L66" s="130">
        <f t="shared" si="12"/>
        <v>0</v>
      </c>
      <c r="M66" s="130">
        <f t="shared" si="13"/>
        <v>0</v>
      </c>
    </row>
    <row r="67">
      <c r="B67" s="160"/>
      <c r="C67" s="161"/>
      <c r="D67" s="156"/>
      <c r="E67" s="161"/>
      <c r="F67" s="147"/>
      <c r="G67" s="163"/>
      <c r="H67" s="164"/>
      <c r="I67" s="164"/>
      <c r="J67" s="156"/>
      <c r="K67" s="127">
        <f t="shared" si="14"/>
        <v>0</v>
      </c>
      <c r="L67" s="130">
        <f t="shared" si="12"/>
        <v>0</v>
      </c>
      <c r="M67" s="130">
        <f t="shared" si="13"/>
        <v>0</v>
      </c>
    </row>
    <row r="68">
      <c r="B68" s="160"/>
      <c r="C68" s="161"/>
      <c r="D68" s="149"/>
      <c r="E68" s="161"/>
      <c r="F68" s="147"/>
      <c r="G68" s="163"/>
      <c r="H68" s="164"/>
      <c r="I68" s="164"/>
      <c r="J68" s="156"/>
      <c r="K68" s="127">
        <f t="shared" si="14"/>
        <v>0</v>
      </c>
      <c r="L68" s="130">
        <f t="shared" si="12"/>
        <v>0</v>
      </c>
      <c r="M68" s="130">
        <f t="shared" si="13"/>
        <v>0</v>
      </c>
    </row>
    <row r="69">
      <c r="B69" s="160"/>
      <c r="C69" s="161"/>
      <c r="D69" s="149"/>
      <c r="E69" s="161"/>
      <c r="F69" s="147"/>
      <c r="G69" s="163"/>
      <c r="H69" s="164"/>
      <c r="I69" s="164"/>
      <c r="J69" s="156"/>
      <c r="K69" s="127">
        <f t="shared" si="14"/>
        <v>0</v>
      </c>
      <c r="L69" s="130">
        <f t="shared" si="12"/>
        <v>0</v>
      </c>
      <c r="M69" s="130">
        <f t="shared" si="13"/>
        <v>0</v>
      </c>
    </row>
    <row r="70">
      <c r="B70" s="160"/>
      <c r="C70" s="161"/>
      <c r="D70" s="149"/>
      <c r="E70" s="161"/>
      <c r="F70" s="147"/>
      <c r="G70" s="163"/>
      <c r="H70" s="164"/>
      <c r="I70" s="164"/>
      <c r="J70" s="149"/>
      <c r="K70" s="127">
        <f t="shared" si="14"/>
        <v>0</v>
      </c>
      <c r="L70" s="130">
        <f t="shared" si="12"/>
        <v>0</v>
      </c>
      <c r="M70" s="130">
        <f t="shared" si="13"/>
        <v>0</v>
      </c>
    </row>
    <row r="71">
      <c r="C71" s="1"/>
      <c r="G71" s="246" t="s">
        <v>148</v>
      </c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mergeCells count="39">
    <mergeCell ref="C2:E2"/>
    <mergeCell ref="I2:J2"/>
    <mergeCell ref="K2:L2"/>
    <mergeCell ref="M2:N2"/>
    <mergeCell ref="O2:P2"/>
    <mergeCell ref="I3:J3"/>
    <mergeCell ref="O3:P3"/>
    <mergeCell ref="K5:L5"/>
    <mergeCell ref="M5:N5"/>
    <mergeCell ref="K3:L3"/>
    <mergeCell ref="M3:N3"/>
    <mergeCell ref="I4:J4"/>
    <mergeCell ref="K4:L4"/>
    <mergeCell ref="M4:N4"/>
    <mergeCell ref="O4:P4"/>
    <mergeCell ref="O5:P5"/>
    <mergeCell ref="M7:N7"/>
    <mergeCell ref="O7:P7"/>
    <mergeCell ref="O8:P8"/>
    <mergeCell ref="B10:M10"/>
    <mergeCell ref="D11:M11"/>
    <mergeCell ref="I5:J5"/>
    <mergeCell ref="I6:J6"/>
    <mergeCell ref="K6:L6"/>
    <mergeCell ref="M6:N6"/>
    <mergeCell ref="O6:P6"/>
    <mergeCell ref="I7:J7"/>
    <mergeCell ref="K7:L7"/>
    <mergeCell ref="B54:M54"/>
    <mergeCell ref="D55:M55"/>
    <mergeCell ref="B32:M32"/>
    <mergeCell ref="D33:M33"/>
    <mergeCell ref="C3:E3"/>
    <mergeCell ref="C4:E4"/>
    <mergeCell ref="C5:E5"/>
    <mergeCell ref="C6:E6"/>
    <mergeCell ref="C7:E7"/>
    <mergeCell ref="C8:E8"/>
    <mergeCell ref="C9:E9"/>
  </mergeCells>
  <drawing r:id="rId1"/>
</worksheet>
</file>